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Weekly" sheetId="2" state="visible" r:id="rId4"/>
    <sheet name="Other Week Types" sheetId="3" state="visible" r:id="rId5"/>
    <sheet name="Annual" sheetId="4" state="visible" r:id="rId6"/>
    <sheet name="Tax &amp; Net" sheetId="5" state="visible" r:id="rId7"/>
    <sheet name="ATO Rules" sheetId="6" state="visible" r:id="rId8"/>
    <sheet name="Logs to Keep" sheetId="7" state="visible" r:id="rId9"/>
    <sheet name="PHI vs ML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<sst xmlns="http://schemas.openxmlformats.org/spreadsheetml/2006/main" count="421" uniqueCount="343">
  <si>
    <t xml:space="preserve">Wilson Mining — Pay &amp; Net Income Calculator (Shane Schleger)</t>
  </si>
  <si>
    <t xml:space="preserve">Edit yellow cells to model scenarios. Black cells calculate from formulas.</t>
  </si>
  <si>
    <t xml:space="preserve">ROLE &amp; ROSTER</t>
  </si>
  <si>
    <t xml:space="preserve">Shifts per week</t>
  </si>
  <si>
    <t xml:space="preserve">Mon–Thurs</t>
  </si>
  <si>
    <t xml:space="preserve">Hours per shift</t>
  </si>
  <si>
    <t xml:space="preserve">12-hr night shifts</t>
  </si>
  <si>
    <t xml:space="preserve">Total hrs worked / week</t>
  </si>
  <si>
    <t xml:space="preserve">PAY RATES (EA cl. 9.2)</t>
  </si>
  <si>
    <t xml:space="preserve">Base hourly rate ($/hr)</t>
  </si>
  <si>
    <t xml:space="preserve">Experienced Miner, from 1/7/2025</t>
  </si>
  <si>
    <t xml:space="preserve">Night shift loading (×)</t>
  </si>
  <si>
    <t xml:space="preserve">EA cl. 6.4 — starts after 6pm</t>
  </si>
  <si>
    <t xml:space="preserve">Single time hrs per day</t>
  </si>
  <si>
    <t xml:space="preserve">EA cl. 7.1</t>
  </si>
  <si>
    <t xml:space="preserve">OT multiplier (× base)</t>
  </si>
  <si>
    <t xml:space="preserve">EA cl. 7.1 — double time after 8/day</t>
  </si>
  <si>
    <t xml:space="preserve">Weekly bonus, full ($)</t>
  </si>
  <si>
    <t xml:space="preserve">EA cl. 11.2</t>
  </si>
  <si>
    <t xml:space="preserve">Bonus hours cap</t>
  </si>
  <si>
    <t xml:space="preserve">EA cl. 11.1</t>
  </si>
  <si>
    <t xml:space="preserve">TRAVEL &amp; ACCOMMODATION (CONFIRMED)</t>
  </si>
  <si>
    <t xml:space="preserve">Travel allowance each way ($)</t>
  </si>
  <si>
    <t xml:space="preserve">Cl. 27.1 — own vehicle, out-of-Western district</t>
  </si>
  <si>
    <t xml:space="preserve">One-way trips per week</t>
  </si>
  <si>
    <t xml:space="preserve">Mon out, Thu home</t>
  </si>
  <si>
    <t xml:space="preserve">Meal allowance per shift ($)</t>
  </si>
  <si>
    <t xml:space="preserve">Cl. 27.3 — self-catered, after-tax basis</t>
  </si>
  <si>
    <t xml:space="preserve">Meals claimed per week</t>
  </si>
  <si>
    <t xml:space="preserve">One per shift worked</t>
  </si>
  <si>
    <t xml:space="preserve">ANNUAL ASSUMPTIONS</t>
  </si>
  <si>
    <t xml:space="preserve">Weeks per year</t>
  </si>
  <si>
    <t xml:space="preserve">Standard</t>
  </si>
  <si>
    <t xml:space="preserve">Annual leave weeks</t>
  </si>
  <si>
    <t xml:space="preserve">EA cl. 23 — 25 days/yr</t>
  </si>
  <si>
    <t xml:space="preserve">Personal leave days taken</t>
  </si>
  <si>
    <t xml:space="preserve">Editable</t>
  </si>
  <si>
    <t xml:space="preserve">Public holidays NOT worked</t>
  </si>
  <si>
    <t xml:space="preserve">Public holidays worked</t>
  </si>
  <si>
    <t xml:space="preserve">Editable — paid 2× first 8, 3× after</t>
  </si>
  <si>
    <t xml:space="preserve">Working weeks per year</t>
  </si>
  <si>
    <t xml:space="preserve">52 − AL weeks (for travel/meal counts)</t>
  </si>
  <si>
    <t xml:space="preserve">TAX (FY 2025-26 resident rates — Stage 3)</t>
  </si>
  <si>
    <t xml:space="preserve">Treat meal allowance as LAFHA? (default No)</t>
  </si>
  <si>
    <t xml:space="preserve">No</t>
  </si>
  <si>
    <t xml:space="preserve">ATO rules suggest you do NOT qualify for LAFHA — see ATO Rules tab</t>
  </si>
  <si>
    <t xml:space="preserve">Typical Weekly Pay — 4 × 12 hr Mon–Thurs nights</t>
  </si>
  <si>
    <t xml:space="preserve">Wages</t>
  </si>
  <si>
    <t xml:space="preserve">Component</t>
  </si>
  <si>
    <t xml:space="preserve">Hours</t>
  </si>
  <si>
    <t xml:space="preserve">Rate ($/hr)</t>
  </si>
  <si>
    <t xml:space="preserve">Amount ($)</t>
  </si>
  <si>
    <t xml:space="preserve">Reference</t>
  </si>
  <si>
    <t xml:space="preserve">Single time (with 25% night loading)</t>
  </si>
  <si>
    <t xml:space="preserve">32 hrs × $37.17 × 1.25 — first 8 hrs/day</t>
  </si>
  <si>
    <t xml:space="preserve">Overtime (double time, no loading)</t>
  </si>
  <si>
    <t xml:space="preserve">16 hrs × $37.17 × 2 — hours 9–12 each day</t>
  </si>
  <si>
    <t xml:space="preserve">Production bonus</t>
  </si>
  <si>
    <t xml:space="preserve">Cl. 11 — full at 35+ hrs worked</t>
  </si>
  <si>
    <t xml:space="preserve">WAGE SUBTOTAL</t>
  </si>
  <si>
    <t xml:space="preserve">Allowances</t>
  </si>
  <si>
    <t xml:space="preserve">Travel allowance</t>
  </si>
  <si>
    <t xml:space="preserve">2 one-way trips × $200 — own vehicle, out-of-district</t>
  </si>
  <si>
    <t xml:space="preserve">Meal allowance</t>
  </si>
  <si>
    <t xml:space="preserve">4 shifts × $80 — self-catered</t>
  </si>
  <si>
    <t xml:space="preserve">ALLOWANCE SUBTOTAL</t>
  </si>
  <si>
    <t xml:space="preserve">WEEKLY GROSS TOTAL</t>
  </si>
  <si>
    <t xml:space="preserve">Note: Wage subtotal alone = $3,126/wk. With allowances = $3,846/wk. OT clause interpretation (cl. 7.1 vs 7.8) is ambiguous — confirm with Wilson payroll.</t>
  </si>
  <si>
    <t xml:space="preserve">Other Pay Scenarios</t>
  </si>
  <si>
    <t xml:space="preserve">Annual Leave Week</t>
  </si>
  <si>
    <t xml:space="preserve">Hours paid (5 × 8)</t>
  </si>
  <si>
    <t xml:space="preserve">Cl. 23.6 — 25% leave loading</t>
  </si>
  <si>
    <t xml:space="preserve">Bonus on AL</t>
  </si>
  <si>
    <t xml:space="preserve">Cl. 23.6 — bonus paid during AL</t>
  </si>
  <si>
    <t xml:space="preserve">AL WEEK TOTAL</t>
  </si>
  <si>
    <t xml:space="preserve">Public Holiday Worked (12 hr night shift)</t>
  </si>
  <si>
    <t xml:space="preserve">First 8 hrs @ 2× base</t>
  </si>
  <si>
    <t xml:space="preserve">Cl. 22.2</t>
  </si>
  <si>
    <t xml:space="preserve">Hours 9–12 @ 3× base</t>
  </si>
  <si>
    <t xml:space="preserve">PH SHIFT TOTAL</t>
  </si>
  <si>
    <t xml:space="preserve">Annual Income (Gross)</t>
  </si>
  <si>
    <t xml:space="preserve">Item</t>
  </si>
  <si>
    <t xml:space="preserve">Qty</t>
  </si>
  <si>
    <t xml:space="preserve">Notes</t>
  </si>
  <si>
    <t xml:space="preserve">WAGES</t>
  </si>
  <si>
    <t xml:space="preserve">Standard working weeks</t>
  </si>
  <si>
    <t xml:space="preserve">Wage subtotal × working weeks</t>
  </si>
  <si>
    <t xml:space="preserve">Cl. 23.6 — base × 1.25 + bonus</t>
  </si>
  <si>
    <t xml:space="preserve">Less: personal leave days taken</t>
  </si>
  <si>
    <t xml:space="preserve">Net: PL day replaces a working shift</t>
  </si>
  <si>
    <t xml:space="preserve">Public holidays WORKED</t>
  </si>
  <si>
    <t xml:space="preserve">Cl. 22.2 — 2× then 3×</t>
  </si>
  <si>
    <t xml:space="preserve">ANNUAL WAGES (taxable income)</t>
  </si>
  <si>
    <t xml:space="preserve">ALLOWANCES</t>
  </si>
  <si>
    <t xml:space="preserve">47 wks × 2 trips × $200</t>
  </si>
  <si>
    <t xml:space="preserve">47 wks × 4 shifts × $80</t>
  </si>
  <si>
    <t xml:space="preserve">ANNUAL ALLOWANCES</t>
  </si>
  <si>
    <t xml:space="preserve">TOTAL ANNUAL GROSS (no super)</t>
  </si>
  <si>
    <t xml:space="preserve">Tax Estimate &amp; Net Income (FY 2025-26)</t>
  </si>
  <si>
    <t xml:space="preserve">Australian resident rates — Stage 3 tax cuts in effect from 1/7/2024.</t>
  </si>
  <si>
    <t xml:space="preserve">FY 2025-26 Resident Tax Brackets</t>
  </si>
  <si>
    <t xml:space="preserve">Bracket</t>
  </si>
  <si>
    <t xml:space="preserve">Threshold ($)</t>
  </si>
  <si>
    <t xml:space="preserve">Rate</t>
  </si>
  <si>
    <t xml:space="preserve">1 — Tax-free</t>
  </si>
  <si>
    <t xml:space="preserve">Up to $18,200</t>
  </si>
  <si>
    <t xml:space="preserve">2</t>
  </si>
  <si>
    <t xml:space="preserve">$18,201 – $45,000</t>
  </si>
  <si>
    <t xml:space="preserve">3</t>
  </si>
  <si>
    <t xml:space="preserve">$45,001 – $135,000</t>
  </si>
  <si>
    <t xml:space="preserve">4</t>
  </si>
  <si>
    <t xml:space="preserve">$135,001 – $190,000</t>
  </si>
  <si>
    <t xml:space="preserve">5</t>
  </si>
  <si>
    <t xml:space="preserve">Above $190,000</t>
  </si>
  <si>
    <t xml:space="preserve">Medicare levy</t>
  </si>
  <si>
    <t xml:space="preserve">2% on taxable income (assumes no MLS — verify with private health cover)</t>
  </si>
  <si>
    <t xml:space="preserve">Net Income Calculation</t>
  </si>
  <si>
    <t xml:space="preserve">Annual wages</t>
  </si>
  <si>
    <t xml:space="preserve">Fully taxable</t>
  </si>
  <si>
    <t xml:space="preserve">Treated as taxable (conservative — see notes)</t>
  </si>
  <si>
    <t xml:space="preserve">Treated per LAFHA toggle (Assumptions tab)</t>
  </si>
  <si>
    <t xml:space="preserve">TAXABLE INCOME</t>
  </si>
  <si>
    <t xml:space="preserve">If meal is LAFHA, subtract from taxable</t>
  </si>
  <si>
    <t xml:space="preserve">Income tax — step by step</t>
  </si>
  <si>
    <t xml:space="preserve">  $0 – $18,200 @ 0%</t>
  </si>
  <si>
    <t xml:space="preserve">Tax-free threshold</t>
  </si>
  <si>
    <t xml:space="preserve">  $18,201 – $45,000 @ 16%</t>
  </si>
  <si>
    <t xml:space="preserve">Up to $4,288</t>
  </si>
  <si>
    <t xml:space="preserve">  $45,001 – $135,000 @ 30%</t>
  </si>
  <si>
    <t xml:space="preserve">Up to $27,000</t>
  </si>
  <si>
    <t xml:space="preserve">  $135,001 – $190,000 @ 37%</t>
  </si>
  <si>
    <t xml:space="preserve">Up to $20,350</t>
  </si>
  <si>
    <t xml:space="preserve">  Above $190,000 @ 45%</t>
  </si>
  <si>
    <t xml:space="preserve">On excess</t>
  </si>
  <si>
    <t xml:space="preserve">Income tax subtotal</t>
  </si>
  <si>
    <t xml:space="preserve">Medicare levy (2%)</t>
  </si>
  <si>
    <t xml:space="preserve">TOTAL TAX &amp; LEVY</t>
  </si>
  <si>
    <t xml:space="preserve">ANNUAL NET INCOME</t>
  </si>
  <si>
    <t xml:space="preserve">Take-home (after tax + levy). If LAFHA, meal allowance added back.</t>
  </si>
  <si>
    <t xml:space="preserve">Approx weekly net (÷52)</t>
  </si>
  <si>
    <t xml:space="preserve">Crude weekly average — actual varies by AL/PH</t>
  </si>
  <si>
    <t xml:space="preserve">Effective tax rate</t>
  </si>
  <si>
    <t xml:space="preserve">Total tax ÷ total cash received</t>
  </si>
  <si>
    <t xml:space="preserve">Caveats &amp; assumptions</t>
  </si>
  <si>
    <t xml:space="preserve">1. Tax brackets are FY2025-26 (Stage 3 cuts). FY26-27 rates not yet legislated changes assumed identical.</t>
  </si>
  <si>
    <t xml:space="preserve">2. Medicare levy assumes you're above the threshold ($30k+) and don't qualify for reduction. No MLS assumed (have private hospital cover).</t>
  </si>
  <si>
    <t xml:space="preserve">3. Travel allowance taxed conservatively. In practice, bona fide travel allowances paid at ATO 'reasonable amounts' may be paid without PAYG withholding, and you may claim car expenses as a deduction — this would reduce your actual tax bill. Talk to an accountant.</t>
  </si>
  <si>
    <t xml:space="preserve">4. Meal allowance: EA says '$80 after tax'. If treated as taxable income, it's in your gross. If treated as LAFHA / reasonable amount (toggle on Assumptions tab), it's tax-free up to ATO thresholds.</t>
  </si>
  <si>
    <t xml:space="preserve">5. No HELP/HECS debt assumed. No salary sacrifice assumed. No private health offset/rebate modelled.</t>
  </si>
  <si>
    <t xml:space="preserve">6. Super excluded from total per Shane's request — it's earned but not part of take-home.</t>
  </si>
  <si>
    <t xml:space="preserve">7. This is an estimate, not financial advice. Get a tax accountant to confirm — even a single session before signing is cheap insurance.</t>
  </si>
  <si>
    <t xml:space="preserve">ATO Rules — Travel, Meal Allowances, LAFHA, Deductions</t>
  </si>
  <si>
    <t xml:space="preserve">Research conducted May 2026. Confirm with a registered tax agent before lodging.</t>
  </si>
  <si>
    <t xml:space="preserve">✕</t>
  </si>
  <si>
    <t xml:space="preserve">The ATO position (TR 2021/1, TR 2021/4) is clear: a regular mine site IS your workplace, even if you sleep there. Travel between your home and that mine site is treated as ORDINARY COMMUTING — not deductible.</t>
  </si>
  <si>
    <t xml:space="preserve">This holds even if your employer pays a 'travel allowance' for the trip. Receiving the allowance doesn't make the underlying expense deductible.</t>
  </si>
  <si>
    <t xml:space="preserve">!</t>
  </si>
  <si>
    <t xml:space="preserve">The TR 2021/4 ruling includes a literal example of a worker at the Olympic Dam mine in SA — exactly your scenario. ATO treats his allowance as a LAFHA, not as 'travel'.</t>
  </si>
  <si>
    <t xml:space="preserve">LAFHA also doesn't usually apply to roster-based DIDO arrangements where the worker stays in employer-provided camp accommodation. The worker isn't 'establishing a second home' — they're commuting on a longer cycle.</t>
  </si>
  <si>
    <t xml:space="preserve">Travel allowance ($18,800/yr): TAXABLE income in full. It will appear on your PAYG payment summary as 'allowances'. You cannot claim car expenses against it for the Sydney↔Ulan trip — that's commuting (per TR 2021/1).</t>
  </si>
  <si>
    <t xml:space="preserve">Meal allowance ($15,040/yr): TAXABLE income in full IF it appears on your PAYG summary. There's a narrow exception (overtime meal allowance) — see below.</t>
  </si>
  <si>
    <t xml:space="preserve">The EA's phrase '$80 per day after tax' is unusual. Possible interpretations: (1) employer grosses it up so you net $80, (2) employer treats as FBT-exempt fringe benefit and pays $80 cash. CHECK YOUR FIRST PAYSLIP to see how Wilson actually treats it.</t>
  </si>
  <si>
    <t xml:space="preserve">✓</t>
  </si>
  <si>
    <t xml:space="preserve">If Wilson treats either allowance as a fringe benefit (FBT) and it does NOT appear on your PAYG summary, it's effectively tax-free to you. This is the best outcome and the EA wording hints at this for meals.</t>
  </si>
  <si>
    <t xml:space="preserve">Under TD 2025/4, employees who receive an overtime meal allowance under an industrial instrument can claim up to $38.65 per overtime meal without receipts (the 'reasonable amount'). To qualify:</t>
  </si>
  <si>
    <t xml:space="preserve">Shift must exceed normal hours (your 12-hour nights satisfy this — EA cl. 7 treats hours over 8/day as overtime)</t>
  </si>
  <si>
    <t xml:space="preserve">The allowance must be paid under an award/EA specifically in connection with overtime — NOT for being away from home</t>
  </si>
  <si>
    <t xml:space="preserve">You must actually incur a meal expense (i.e. you bought food). If the camp is fully catered and meals are free, you can't claim.</t>
  </si>
  <si>
    <t xml:space="preserve">Your EA's $80/day meal allowance is described as accommodation-related (cl. 27.3), not overtime-related. Get a tax agent to assess whether it can be characterised as overtime meal allowance for ATO purposes. If yes, you may be able to claim up to $38.65 per shift × 188 shifts = $7,266/yr without receipts.</t>
  </si>
  <si>
    <t xml:space="preserve">Sydney → Ulan trip (~280 km each way): NOT DEDUCTIBLE under TR 2021/1, regardless of how you travel or who pays.</t>
  </si>
  <si>
    <t xml:space="preserve">Cents-per-km method 2025-26: 88c/km, capped at 5,000 work-km/yr (~$4,400 max). Does NOT apply to home-to-work commute.</t>
  </si>
  <si>
    <t xml:space="preserve">Logbook method: requires 12 consecutive weeks of records. Validates business-use % for 5 years. Only applies to genuinely work-related km.</t>
  </si>
  <si>
    <t xml:space="preserve">What MIGHT be deductible: travel between two different mine sites in a single day; emergency callouts to a non-regular site (cl. 27); travel for training/courses; travel between mine and another work location.</t>
  </si>
  <si>
    <t xml:space="preserve">Keep a logbook from day 1 — even if you think most use is commuting. You'll be surprised what qualifies and the cost of starting late is high.</t>
  </si>
  <si>
    <t xml:space="preserve">MEU (Mining &amp; Energy Union) membership fees — fully deductible</t>
  </si>
  <si>
    <t xml:space="preserve">Income protection insurance premiums (NOT life insurance, NOT inside-super premiums)</t>
  </si>
  <si>
    <t xml:space="preserve">Sun protection (sunscreen, sunglasses, hats) IF working outdoors/in sun</t>
  </si>
  <si>
    <t xml:space="preserve">Self-purchased PPE not provided by Wilson (Wilson provides 2 sets industrial clothing + boots + jacket per EA cl. 16)</t>
  </si>
  <si>
    <t xml:space="preserve">Work-related training/courses not reimbursed</t>
  </si>
  <si>
    <t xml:space="preserve">Industry publications/subscriptions</t>
  </si>
  <si>
    <t xml:space="preserve">Phone/internet (work-related portion only — must keep diary or evidence)</t>
  </si>
  <si>
    <t xml:space="preserve">Tax agent fees (yes, even paying an accountant is deductible)</t>
  </si>
  <si>
    <t xml:space="preserve">Tools and equipment you buy yourself for the role</t>
  </si>
  <si>
    <t xml:space="preserve">Sydney↔Ulan travel costs (fuel, tolls, depreciation on car for that trip)</t>
  </si>
  <si>
    <t xml:space="preserve">Meals while at the mine if employer provides food OR if you self-cater at the mine accommodation (it's your regular workplace)</t>
  </si>
  <si>
    <t xml:space="preserve">Accommodation at the mine (employer provides it; cl. 27.2)</t>
  </si>
  <si>
    <t xml:space="preserve">Clothing items the employer provides (Wilson provides full PPE per cl. 16)</t>
  </si>
  <si>
    <t xml:space="preserve">Anything reimbursed by the employer</t>
  </si>
  <si>
    <t xml:space="preserve">The 'LAFHA = Yes' optimistic estimate ($143,881 net) I gave earlier is unlikely to apply to your situation. ATO rules treat DIDO miners as commuters, not LAFHA-eligible.</t>
  </si>
  <si>
    <t xml:space="preserve">Realistic net: ~$137,562/yr (the conservative figure with all allowances fully taxable)</t>
  </si>
  <si>
    <t xml:space="preserve">This could improve modestly with proper claims: union fees (~$1,500/yr), income protection (~$1,000-2,000/yr), small work-related items. Maybe $500-800 in tax savings.</t>
  </si>
  <si>
    <t xml:space="preserve">BIG potential lever: if Wilson treats meal allowance as FBT (not on PAYG), it becomes effectively tax-free. Confirm on first payslip.</t>
  </si>
  <si>
    <t xml:space="preserve">•</t>
  </si>
  <si>
    <t xml:space="preserve">TR 2021/1 — Income tax: when are deductions allowed for employees' transport expenses?</t>
  </si>
  <si>
    <t xml:space="preserve">TR 2021/4 — Income tax: accommodation and food and drink expenses, travel allowances, and LAFHA</t>
  </si>
  <si>
    <t xml:space="preserve">TD 2025/4 — Reasonable travel &amp; overtime meal allowance amounts FY2025-26 (overtime meal = $38.65)</t>
  </si>
  <si>
    <t xml:space="preserve">TD 2025/2 — Reasonable food amounts for LAFHA recipients (FBT 2025-26) — single adult = $341/wk</t>
  </si>
  <si>
    <t xml:space="preserve">ATO Mining site employees guide (May 2025): ato.gov.au/mining</t>
  </si>
  <si>
    <t xml:space="preserve">Logs &amp; Records to Keep from Day 1 (2 June 2026)</t>
  </si>
  <si>
    <t xml:space="preserve">VEHICLE LOGBOOK — start day 1</t>
  </si>
  <si>
    <t xml:space="preserve">☐</t>
  </si>
  <si>
    <t xml:space="preserve">12-week logbook (consecutive)</t>
  </si>
  <si>
    <t xml:space="preserve">Start 2 June 2026. Continuous for 12 weeks. Each trip: date, start/end odometer, km, purpose. Required for ATO logbook method. Valid 5 years once done.</t>
  </si>
  <si>
    <t xml:space="preserve">Odometer reading at 1 July each year</t>
  </si>
  <si>
    <t xml:space="preserve">Photo of odometer on 1 July 2026 and 30 June 2027. Annual records support business-use % across the year.</t>
  </si>
  <si>
    <t xml:space="preserve">Car details</t>
  </si>
  <si>
    <t xml:space="preserve">Make, model, engine capacity, rego number — once in the logbook.</t>
  </si>
  <si>
    <t xml:space="preserve">Receipts for car running costs</t>
  </si>
  <si>
    <t xml:space="preserve">Fuel, servicing, insurance, registration, tyres, repairs. Keep ALL receipts even if Sydney→Ulan trips aren't deductible — some km may be (training, between sites, callouts).</t>
  </si>
  <si>
    <t xml:space="preserve">WORK DIARY (calendar entries are fine)</t>
  </si>
  <si>
    <t xml:space="preserve">Shift dates, hours, location</t>
  </si>
  <si>
    <t xml:space="preserve">Every shift: date, start/end times, location (Ulan or other), 12-hr night confirmed. Supports overtime meal allowance claims and OT calculations.</t>
  </si>
  <si>
    <t xml:space="preserve">Out-of-pocket meal expenses</t>
  </si>
  <si>
    <t xml:space="preserve">Date, location, amount, what (breakfast/lunch/dinner). Keep receipts where possible. Critical for overtime meal allowance claim defence.</t>
  </si>
  <si>
    <t xml:space="preserve">Travel between sites</t>
  </si>
  <si>
    <t xml:space="preserve">Any trip between Ulan and another work location, training venue, or callout site. Date, from→to, km, purpose. These ARE potentially deductible.</t>
  </si>
  <si>
    <t xml:space="preserve">Training / courses attended</t>
  </si>
  <si>
    <t xml:space="preserve">Date, course name, cost, location, employer reimbursement status.</t>
  </si>
  <si>
    <t xml:space="preserve">PAYSLIPS &amp; PAYG</t>
  </si>
  <si>
    <t xml:space="preserve">Every payslip retained</t>
  </si>
  <si>
    <t xml:space="preserve">From first pay. Shows allowance breakdowns (travel, meal, bonus), tax withheld, super, hours worked. Lose nothing.</t>
  </si>
  <si>
    <t xml:space="preserve">Annual PAYG payment summary</t>
  </si>
  <si>
    <t xml:space="preserve">End of FY. Confirms how Wilson treated each allowance for tax. CRITICAL — this is the evidence for what's taxable.</t>
  </si>
  <si>
    <t xml:space="preserve">Write-down of allowance treatment</t>
  </si>
  <si>
    <t xml:space="preserve">On your first payslip, confirm in writing with payroll: which allowances are on PAYG summary (taxable) vs. FBT-treated (excluded). Keep that email.</t>
  </si>
  <si>
    <t xml:space="preserve">RECEIPTS — KEEP EVERYTHING WORK-RELATED</t>
  </si>
  <si>
    <t xml:space="preserve">Union fees (MEU)</t>
  </si>
  <si>
    <t xml:space="preserve">Annual or fortnightly deductions — keep statement or union letter.</t>
  </si>
  <si>
    <t xml:space="preserve">Income protection insurance</t>
  </si>
  <si>
    <t xml:space="preserve">Premium notice/policy schedule. NOT life insurance and NOT premiums paid inside super (which aren't deductible).</t>
  </si>
  <si>
    <t xml:space="preserve">PPE you buy yourself</t>
  </si>
  <si>
    <t xml:space="preserve">Beyond what Wilson provides — e.g. extra boots, safety glasses, gloves, additional clothing. Receipts dated and itemised.</t>
  </si>
  <si>
    <t xml:space="preserve">Sun protection</t>
  </si>
  <si>
    <t xml:space="preserve">Sunglasses, sunscreen, broad-brim hat if working outdoors. Receipts.</t>
  </si>
  <si>
    <t xml:space="preserve">Tools &amp; equipment</t>
  </si>
  <si>
    <t xml:space="preserve">Tools you buy for the role. Items &gt;$300 may need depreciation.</t>
  </si>
  <si>
    <t xml:space="preserve">Phone &amp; internet</t>
  </si>
  <si>
    <t xml:space="preserve">Monthly bills + a 4-week diary period showing work vs personal use to establish %.</t>
  </si>
  <si>
    <t xml:space="preserve">Tax agent fees</t>
  </si>
  <si>
    <t xml:space="preserve">Invoice from accountant. Yes, this is deductible.</t>
  </si>
  <si>
    <t xml:space="preserve">Industry publications</t>
  </si>
  <si>
    <t xml:space="preserve">Subscriptions, technical books, training materials.</t>
  </si>
  <si>
    <t xml:space="preserve">EMPLOYMENT DOCUMENTS — file these for life-of-contract</t>
  </si>
  <si>
    <t xml:space="preserve">Offer letter + EA</t>
  </si>
  <si>
    <t xml:space="preserve">You have these — keep originals.</t>
  </si>
  <si>
    <t xml:space="preserve">Written confirmation from Wilson on:</t>
  </si>
  <si>
    <t xml:space="preserve">Home district designation; accommodation type (catered/self-catered); travel arrangement; whether allowances are PAYG or FBT.</t>
  </si>
  <si>
    <t xml:space="preserve">Roster confirmations</t>
  </si>
  <si>
    <t xml:space="preserve">Each rostered period — keep emails/SMS so you can prove shift patterns if disputed later.</t>
  </si>
  <si>
    <t xml:space="preserve">ATO-APPROVED TOOLS</t>
  </si>
  <si>
    <t xml:space="preserve">ATO myDeductions app</t>
  </si>
  <si>
    <t xml:space="preserve">Free, official, captures receipts via phone camera + categorises. Syncs to MyTax at lodgment. Use from day 1.</t>
  </si>
  <si>
    <t xml:space="preserve">Logbook app (e.g. Driversnote, GOFAR)</t>
  </si>
  <si>
    <t xml:space="preserve">Auto-trip detection. Reduces tedium. Saves time at tax lodgment.</t>
  </si>
  <si>
    <t xml:space="preserve">Private Health Insurance vs Medicare Levy Surcharge — Single, NSW</t>
  </si>
  <si>
    <t xml:space="preserve">Estimated annual costs assuming you're under 65, no LHC loading, $750 excess, Tier 3 income (no rebate). Real quotes vary — use privatehealth.gov.au.</t>
  </si>
  <si>
    <t xml:space="preserve">Your Situation</t>
  </si>
  <si>
    <t xml:space="preserve">Annual taxable income (from Tax &amp; Net)</t>
  </si>
  <si>
    <t xml:space="preserve">Used to compute MLS</t>
  </si>
  <si>
    <t xml:space="preserve">MLS Tier</t>
  </si>
  <si>
    <t xml:space="preserve">Based on 2025-26 single thresholds</t>
  </si>
  <si>
    <t xml:space="preserve">MLS rate</t>
  </si>
  <si>
    <t xml:space="preserve">Tier 3 (&gt;$158k) = 1.5% — your bracket</t>
  </si>
  <si>
    <t xml:space="preserve">MLS payable if NO qualifying cover</t>
  </si>
  <si>
    <t xml:space="preserve">The 'do nothing' tax cost</t>
  </si>
  <si>
    <t xml:space="preserve">PHI Rebate eligibility</t>
  </si>
  <si>
    <t xml:space="preserve">At your income, advertised prices grossed up</t>
  </si>
  <si>
    <t xml:space="preserve">Comparison — Single, NSW, no rebate, $750 excess</t>
  </si>
  <si>
    <t xml:space="preserve">Option</t>
  </si>
  <si>
    <t xml:space="preserve">Premium ($/yr)</t>
  </si>
  <si>
    <t xml:space="preserve">MLS ($/yr)</t>
  </si>
  <si>
    <t xml:space="preserve">Total cost ($/yr)</t>
  </si>
  <si>
    <t xml:space="preserve">vs MLS only</t>
  </si>
  <si>
    <t xml:space="preserve">What you get</t>
  </si>
  <si>
    <t xml:space="preserve">Do nothing (no PHI)</t>
  </si>
  <si>
    <t xml:space="preserve">Nothing. Public hospital waitlist only. No choice of doctor.</t>
  </si>
  <si>
    <t xml:space="preserve">Basic Hospital (cheapest qualifying)</t>
  </si>
  <si>
    <t xml:space="preserve">Avoids MLS only. Excludes joints, heart, back/neck — covers little useful.</t>
  </si>
  <si>
    <t xml:space="preserve">Bronze Hospital</t>
  </si>
  <si>
    <t xml:space="preserve">Joint reconstructions, hernia/appendix, gallbladder, gynae. No back/neck.</t>
  </si>
  <si>
    <t xml:space="preserve">Bronze Plus</t>
  </si>
  <si>
    <t xml:space="preserve">Bronze + dental surgery, prostate. Still no back/neck or joint replacement.</t>
  </si>
  <si>
    <t xml:space="preserve">Silver Hospital</t>
  </si>
  <si>
    <t xml:space="preserve">Bronze + back/neck/spine, heart, lung, chest. RELEVANT for mining work.</t>
  </si>
  <si>
    <t xml:space="preserve">Silver Plus</t>
  </si>
  <si>
    <t xml:space="preserve">Silver + joint replacements, cataracts, sleep studies. Strongly recommended.</t>
  </si>
  <si>
    <t xml:space="preserve">Gold Hospital</t>
  </si>
  <si>
    <t xml:space="preserve">Everything — incl. pregnancy/birth, IVF, weight-loss, psychiatric, hip &amp; knee. Only if you need it.</t>
  </si>
  <si>
    <t xml:space="preserve">Note: Premiums are realistic mid-range estimates for a 30-50yo NSW single, no LHC loading, Tier 3 (no rebate).</t>
  </si>
  <si>
    <t xml:space="preserve">Specific Silver / Silver Plus Policies to Get Quotes On</t>
  </si>
  <si>
    <t xml:space="preserve">Insurer</t>
  </si>
  <si>
    <t xml:space="preserve">Policy name (typical)</t>
  </si>
  <si>
    <t xml:space="preserve">HCF</t>
  </si>
  <si>
    <t xml:space="preserve">Hospital Standard Silver Plus</t>
  </si>
  <si>
    <t xml:space="preserve">Member-owned, not-for-profit. Highly Commended in CHOICE 2025 Silver category.</t>
  </si>
  <si>
    <t xml:space="preserve">Bupa</t>
  </si>
  <si>
    <t xml:space="preserve">Silver Plus Intermediate / Advanced</t>
  </si>
  <si>
    <t xml:space="preserve">Largest network of agreement hospitals. Highly Commended in CHOICE 2025.</t>
  </si>
  <si>
    <t xml:space="preserve">Medibank</t>
  </si>
  <si>
    <t xml:space="preserve">Silver Plus Core / Secure</t>
  </si>
  <si>
    <t xml:space="preserve">Largest membership base. Owns AHM (cheaper sub-brand).</t>
  </si>
  <si>
    <t xml:space="preserve">AHM (Medibank sub)</t>
  </si>
  <si>
    <t xml:space="preserve">Core Silver Plus</t>
  </si>
  <si>
    <t xml:space="preserve">Often cheaper than parent Medibank for same cover.</t>
  </si>
  <si>
    <t xml:space="preserve">NIB</t>
  </si>
  <si>
    <t xml:space="preserve">Top Hospital (Silver Plus equivalent)</t>
  </si>
  <si>
    <t xml:space="preserve">Strong in NSW. Mining workforce common customer.</t>
  </si>
  <si>
    <t xml:space="preserve">HBF</t>
  </si>
  <si>
    <t xml:space="preserve">Silver Hospital Plus</t>
  </si>
  <si>
    <t xml:space="preserve">Strong on gap protection.</t>
  </si>
  <si>
    <t xml:space="preserve">Peoplecare</t>
  </si>
  <si>
    <t xml:space="preserve">Silver Plus Essentials</t>
  </si>
  <si>
    <t xml:space="preserve">Member-owned mutual fund.</t>
  </si>
  <si>
    <t xml:space="preserve">GMHBA</t>
  </si>
  <si>
    <t xml:space="preserve">Silver Plus Hospital</t>
  </si>
  <si>
    <t xml:space="preserve">Regional fund, competitive pricing.</t>
  </si>
  <si>
    <t xml:space="preserve">Get Quotes — Use this checklist</t>
  </si>
  <si>
    <t xml:space="preserve">1.</t>
  </si>
  <si>
    <t xml:space="preserve">Go to privatehealth.gov.au (free, no commissions). Filter Silver Plus, NSW, single, $750 excess.</t>
  </si>
  <si>
    <t xml:space="preserve">2.</t>
  </si>
  <si>
    <t xml:space="preserve">Note your AGE — affects LHC loading. Born after 1 July 1994 + first PHI now = 0% loading (free). Older = 2% per year delayed since age 31.</t>
  </si>
  <si>
    <t xml:space="preserve">3.</t>
  </si>
  <si>
    <t xml:space="preserve">Confirm Tier 3 (no rebate) — at your income the advertised 'with rebate' prices need grossing up by ~32%.</t>
  </si>
  <si>
    <t xml:space="preserve">4.</t>
  </si>
  <si>
    <t xml:space="preserve">Check back/neck/spine, joint replacement, plastic &amp; reconstructive after injury are FULLY covered (not 'restricted').</t>
  </si>
  <si>
    <t xml:space="preserve">5.</t>
  </si>
  <si>
    <t xml:space="preserve">Verify $750 excess (or lower) — must be ≤$750 to keep MLS exemption.</t>
  </si>
  <si>
    <t xml:space="preserve">6.</t>
  </si>
  <si>
    <t xml:space="preserve">Ambulance cover — NSW residents need to buy this separately (or via PHI). NSW does NOT have universal ambulance like QLD/TAS.</t>
  </si>
  <si>
    <t xml:space="preserve">7.</t>
  </si>
  <si>
    <t xml:space="preserve">Get quotes from at least 3 funds. Same tier, same excess, same exclusions — let price decide.</t>
  </si>
  <si>
    <t xml:space="preserve">8.</t>
  </si>
  <si>
    <t xml:space="preserve">Decide on extras separately. Pure hospital cover is what gives you the MLS exemption.</t>
  </si>
  <si>
    <t xml:space="preserve">9.</t>
  </si>
  <si>
    <t xml:space="preserve">Take out cover BEFORE you start the role (or in your first month) to avoid any pro-rata MLS for uncovered days.</t>
  </si>
  <si>
    <t xml:space="preserve">Key Push-Backs</t>
  </si>
  <si>
    <t xml:space="preserve">Don't buy Basic 'MLS dodge' policies if your work has physical injury risk. You're paying ~$1,450/yr for cover that won't help when you need it.</t>
  </si>
  <si>
    <t xml:space="preserve">Silver Plus is the value-tier for an underground miner — back/neck/joints/heart are all covered. Costs ~$3,400/yr (no rebate).</t>
  </si>
  <si>
    <t xml:space="preserve">Silver Plus net cost vs doing nothing ≈ +$465/yr ($3,400 PHI − $2,935 MLS saved). For real cover that's a no-brainer.</t>
  </si>
  <si>
    <t xml:space="preserve">Gold is overkill UNLESS planning a family (pregnancy + birth requires Gold) or have specific known conditions.</t>
  </si>
  <si>
    <t xml:space="preserve">Don't be swayed by 'extras' bundles. Hospital cover is what gives you MLS exemption. Extras are a separate decision based on whether you actually use physio/dental/optical.</t>
  </si>
  <si>
    <t xml:space="preserve">Premiums rise on 1 April each year. Prepay 12 months before that date to lock in the lower rate.</t>
  </si>
  <si>
    <t xml:space="preserve">PHI premiums are NOT tax-deductible. The MLS savings + real cover is the value, not a tax write-off.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</si>
</sst>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.00"/>
    <numFmt numFmtId="167" formatCode="0.00"/>
    <numFmt numFmtId="168" formatCode="\$#,##0"/>
    <numFmt numFmtId="169" formatCode="#,##0.0"/>
    <numFmt numFmtId="170" formatCode="0.0%"/>
    <numFmt numFmtId="171" formatCode="\$#,##0"/>
    <numFmt numFmtId="172" formatCode="0.00%"/>
    <numFmt numFmtId="173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BF8F00"/>
      <name val="Calibri"/>
      <family val="0"/>
      <charset val="1"/>
    </font>
    <font>
      <b val="true"/>
      <sz val="11"/>
      <color rgb="FF548235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2F5F8F"/>
      </patternFill>
    </fill>
    <fill>
      <patternFill patternType="solid">
        <fgColor rgb="FF2E75B6"/>
        <bgColor rgb="FF2F5F8F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2F5F8F"/>
        <bgColor rgb="FF1F4E78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7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9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2F5F8F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62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4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12</v>
      </c>
      <c r="C6" s="7" t="s">
        <v>6</v>
      </c>
    </row>
    <row r="7" customFormat="false" ht="15" hidden="false" customHeight="true" outlineLevel="0" collapsed="false">
      <c r="A7" s="5" t="s">
        <v>7</v>
      </c>
      <c r="B7" s="8" t="n">
        <f aca="false">B5*B6</f>
        <v>48</v>
      </c>
    </row>
    <row r="9" customFormat="false" ht="15" hidden="false" customHeight="true" outlineLevel="0" collapsed="false">
      <c r="A9" s="4" t="s">
        <v>8</v>
      </c>
      <c r="B9" s="4"/>
      <c r="C9" s="4"/>
    </row>
    <row r="10" customFormat="false" ht="15" hidden="false" customHeight="true" outlineLevel="0" collapsed="false">
      <c r="A10" s="5" t="s">
        <v>9</v>
      </c>
      <c r="B10" s="9" t="n">
        <v>37.17</v>
      </c>
      <c r="C10" s="7" t="s">
        <v>10</v>
      </c>
    </row>
    <row r="11" customFormat="false" ht="15" hidden="false" customHeight="true" outlineLevel="0" collapsed="false">
      <c r="A11" s="5" t="s">
        <v>11</v>
      </c>
      <c r="B11" s="10" t="n">
        <v>1.25</v>
      </c>
      <c r="C11" s="7" t="s">
        <v>12</v>
      </c>
    </row>
    <row r="12" customFormat="false" ht="15" hidden="false" customHeight="true" outlineLevel="0" collapsed="false">
      <c r="A12" s="5" t="s">
        <v>13</v>
      </c>
      <c r="B12" s="6" t="n">
        <v>8</v>
      </c>
      <c r="C12" s="7" t="s">
        <v>14</v>
      </c>
    </row>
    <row r="13" customFormat="false" ht="15" hidden="false" customHeight="true" outlineLevel="0" collapsed="false">
      <c r="A13" s="5" t="s">
        <v>15</v>
      </c>
      <c r="B13" s="10" t="n">
        <v>2</v>
      </c>
      <c r="C13" s="7" t="s">
        <v>16</v>
      </c>
    </row>
    <row r="14" customFormat="false" ht="15" hidden="false" customHeight="true" outlineLevel="0" collapsed="false">
      <c r="A14" s="5" t="s">
        <v>17</v>
      </c>
      <c r="B14" s="11" t="n">
        <v>450</v>
      </c>
      <c r="C14" s="7" t="s">
        <v>18</v>
      </c>
    </row>
    <row r="15" customFormat="false" ht="15" hidden="false" customHeight="true" outlineLevel="0" collapsed="false">
      <c r="A15" s="5" t="s">
        <v>19</v>
      </c>
      <c r="B15" s="6" t="n">
        <v>35</v>
      </c>
      <c r="C15" s="7" t="s">
        <v>20</v>
      </c>
    </row>
    <row r="17" customFormat="false" ht="15" hidden="false" customHeight="true" outlineLevel="0" collapsed="false">
      <c r="A17" s="4" t="s">
        <v>21</v>
      </c>
      <c r="B17" s="4"/>
      <c r="C17" s="4"/>
    </row>
    <row r="18" customFormat="false" ht="15" hidden="false" customHeight="true" outlineLevel="0" collapsed="false">
      <c r="A18" s="5" t="s">
        <v>22</v>
      </c>
      <c r="B18" s="11" t="n">
        <v>200</v>
      </c>
      <c r="C18" s="7" t="s">
        <v>23</v>
      </c>
    </row>
    <row r="19" customFormat="false" ht="15" hidden="false" customHeight="true" outlineLevel="0" collapsed="false">
      <c r="A19" s="5" t="s">
        <v>24</v>
      </c>
      <c r="B19" s="6" t="n">
        <v>2</v>
      </c>
      <c r="C19" s="7" t="s">
        <v>25</v>
      </c>
    </row>
    <row r="20" customFormat="false" ht="15" hidden="false" customHeight="true" outlineLevel="0" collapsed="false">
      <c r="A20" s="5" t="s">
        <v>26</v>
      </c>
      <c r="B20" s="11" t="n">
        <v>80</v>
      </c>
      <c r="C20" s="7" t="s">
        <v>27</v>
      </c>
    </row>
    <row r="21" customFormat="false" ht="15" hidden="false" customHeight="true" outlineLevel="0" collapsed="false">
      <c r="A21" s="5" t="s">
        <v>28</v>
      </c>
      <c r="B21" s="6" t="n">
        <v>4</v>
      </c>
      <c r="C21" s="7" t="s">
        <v>29</v>
      </c>
    </row>
    <row r="23" customFormat="false" ht="15" hidden="false" customHeight="true" outlineLevel="0" collapsed="false">
      <c r="A23" s="4" t="s">
        <v>30</v>
      </c>
      <c r="B23" s="4"/>
      <c r="C23" s="4"/>
    </row>
    <row r="24" customFormat="false" ht="15" hidden="false" customHeight="true" outlineLevel="0" collapsed="false">
      <c r="A24" s="5" t="s">
        <v>31</v>
      </c>
      <c r="B24" s="6" t="n">
        <v>52</v>
      </c>
      <c r="C24" s="7" t="s">
        <v>32</v>
      </c>
    </row>
    <row r="25" customFormat="false" ht="15" hidden="false" customHeight="true" outlineLevel="0" collapsed="false">
      <c r="A25" s="5" t="s">
        <v>33</v>
      </c>
      <c r="B25" s="6" t="n">
        <v>5</v>
      </c>
      <c r="C25" s="7" t="s">
        <v>34</v>
      </c>
    </row>
    <row r="26" customFormat="false" ht="15" hidden="false" customHeight="true" outlineLevel="0" collapsed="false">
      <c r="A26" s="5" t="s">
        <v>35</v>
      </c>
      <c r="B26" s="6" t="n">
        <v>7</v>
      </c>
      <c r="C26" s="7" t="s">
        <v>36</v>
      </c>
    </row>
    <row r="27" customFormat="false" ht="15" hidden="false" customHeight="true" outlineLevel="0" collapsed="false">
      <c r="A27" s="5" t="s">
        <v>37</v>
      </c>
      <c r="B27" s="6" t="n">
        <v>6</v>
      </c>
      <c r="C27" s="7" t="s">
        <v>36</v>
      </c>
    </row>
    <row r="28" customFormat="false" ht="15" hidden="false" customHeight="true" outlineLevel="0" collapsed="false">
      <c r="A28" s="5" t="s">
        <v>38</v>
      </c>
      <c r="B28" s="6" t="n">
        <v>4</v>
      </c>
      <c r="C28" s="7" t="s">
        <v>39</v>
      </c>
    </row>
    <row r="29" customFormat="false" ht="15" hidden="false" customHeight="true" outlineLevel="0" collapsed="false">
      <c r="A29" s="5" t="s">
        <v>40</v>
      </c>
      <c r="B29" s="6" t="n">
        <v>47</v>
      </c>
      <c r="C29" s="7" t="s">
        <v>41</v>
      </c>
    </row>
    <row r="31" customFormat="false" ht="15" hidden="false" customHeight="true" outlineLevel="0" collapsed="false">
      <c r="A31" s="4" t="s">
        <v>42</v>
      </c>
      <c r="B31" s="4"/>
      <c r="C31" s="4"/>
    </row>
    <row r="32" customFormat="false" ht="15" hidden="false" customHeight="true" outlineLevel="0" collapsed="false">
      <c r="A32" s="5" t="s">
        <v>43</v>
      </c>
      <c r="B32" s="12" t="s">
        <v>44</v>
      </c>
      <c r="C32" s="13" t="s">
        <v>45</v>
      </c>
    </row>
  </sheetData>
  <mergeCells count="7">
    <mergeCell ref="A1:C1"/>
    <mergeCell ref="A2:C2"/>
    <mergeCell ref="A4:C4"/>
    <mergeCell ref="A9:C9"/>
    <mergeCell ref="A17:C17"/>
    <mergeCell ref="A23:C23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46"/>
  </cols>
  <sheetData>
    <row r="1" customFormat="false" ht="27.75" hidden="false" customHeight="true" outlineLevel="0" collapsed="false">
      <c r="A1" s="14" t="s">
        <v>46</v>
      </c>
      <c r="B1" s="14"/>
      <c r="C1" s="14"/>
      <c r="D1" s="14"/>
      <c r="E1" s="14"/>
    </row>
    <row r="3" customFormat="false" ht="15" hidden="false" customHeight="true" outlineLevel="0" collapsed="false">
      <c r="A3" s="4" t="s">
        <v>47</v>
      </c>
      <c r="B3" s="4"/>
      <c r="C3" s="4"/>
      <c r="D3" s="4"/>
      <c r="E3" s="4"/>
    </row>
    <row r="4" customFormat="false" ht="15" hidden="false" customHeight="true" outlineLevel="0" collapsed="false">
      <c r="A4" s="15" t="s">
        <v>48</v>
      </c>
      <c r="B4" s="15" t="s">
        <v>49</v>
      </c>
      <c r="C4" s="15" t="s">
        <v>50</v>
      </c>
      <c r="D4" s="15" t="s">
        <v>51</v>
      </c>
      <c r="E4" s="15" t="s">
        <v>52</v>
      </c>
    </row>
    <row r="5" customFormat="false" ht="15" hidden="false" customHeight="true" outlineLevel="0" collapsed="false">
      <c r="A5" s="1" t="s">
        <v>53</v>
      </c>
      <c r="B5" s="16" t="n">
        <f aca="false">Assumptions!B5*Assumptions!B12</f>
        <v>32</v>
      </c>
      <c r="C5" s="17" t="n">
        <f aca="false">Assumptions!B10*Assumptions!B11</f>
        <v>46.4625</v>
      </c>
      <c r="D5" s="17" t="n">
        <f aca="false">B5*C5</f>
        <v>1486.8</v>
      </c>
      <c r="E5" s="7" t="s">
        <v>54</v>
      </c>
    </row>
    <row r="6" customFormat="false" ht="15" hidden="false" customHeight="true" outlineLevel="0" collapsed="false">
      <c r="A6" s="1" t="s">
        <v>55</v>
      </c>
      <c r="B6" s="16" t="n">
        <f aca="false">Assumptions!B7-B5</f>
        <v>16</v>
      </c>
      <c r="C6" s="17" t="n">
        <f aca="false">Assumptions!B10*Assumptions!B13</f>
        <v>74.34</v>
      </c>
      <c r="D6" s="17" t="n">
        <f aca="false">B6*C6</f>
        <v>1189.44</v>
      </c>
      <c r="E6" s="7" t="s">
        <v>56</v>
      </c>
    </row>
    <row r="7" customFormat="false" ht="15" hidden="false" customHeight="true" outlineLevel="0" collapsed="false">
      <c r="A7" s="1" t="s">
        <v>57</v>
      </c>
      <c r="D7" s="17" t="n">
        <f aca="false">Assumptions!B14</f>
        <v>450</v>
      </c>
      <c r="E7" s="7" t="s">
        <v>58</v>
      </c>
    </row>
    <row r="8" customFormat="false" ht="15" hidden="false" customHeight="true" outlineLevel="0" collapsed="false">
      <c r="A8" s="18" t="s">
        <v>59</v>
      </c>
      <c r="D8" s="19" t="n">
        <f aca="false">SUM(D5:D7)</f>
        <v>3126.24</v>
      </c>
    </row>
    <row r="10" customFormat="false" ht="15" hidden="false" customHeight="true" outlineLevel="0" collapsed="false">
      <c r="A10" s="4" t="s">
        <v>60</v>
      </c>
      <c r="B10" s="4"/>
      <c r="C10" s="4"/>
      <c r="D10" s="4"/>
      <c r="E10" s="4"/>
    </row>
    <row r="11" customFormat="false" ht="15" hidden="false" customHeight="true" outlineLevel="0" collapsed="false">
      <c r="A11" s="1" t="s">
        <v>61</v>
      </c>
      <c r="B11" s="16" t="n">
        <f aca="false">Assumptions!B19</f>
        <v>2</v>
      </c>
      <c r="C11" s="17" t="n">
        <f aca="false">Assumptions!B18</f>
        <v>200</v>
      </c>
      <c r="D11" s="17" t="n">
        <f aca="false">B11*C11</f>
        <v>400</v>
      </c>
      <c r="E11" s="7" t="s">
        <v>62</v>
      </c>
    </row>
    <row r="12" customFormat="false" ht="15" hidden="false" customHeight="true" outlineLevel="0" collapsed="false">
      <c r="A12" s="1" t="s">
        <v>63</v>
      </c>
      <c r="B12" s="16" t="n">
        <f aca="false">Assumptions!B21</f>
        <v>4</v>
      </c>
      <c r="C12" s="17" t="n">
        <f aca="false">Assumptions!B20</f>
        <v>80</v>
      </c>
      <c r="D12" s="17" t="n">
        <f aca="false">B12*C12</f>
        <v>320</v>
      </c>
      <c r="E12" s="7" t="s">
        <v>64</v>
      </c>
    </row>
    <row r="13" customFormat="false" ht="15" hidden="false" customHeight="true" outlineLevel="0" collapsed="false">
      <c r="A13" s="18" t="s">
        <v>65</v>
      </c>
      <c r="D13" s="19" t="n">
        <f aca="false">SUM(D11:D12)</f>
        <v>720</v>
      </c>
    </row>
    <row r="15" customFormat="false" ht="21.75" hidden="false" customHeight="true" outlineLevel="0" collapsed="false">
      <c r="A15" s="20" t="s">
        <v>66</v>
      </c>
      <c r="D15" s="21" t="n">
        <f aca="false">D8+D13</f>
        <v>3846.24</v>
      </c>
    </row>
    <row r="17" customFormat="false" ht="34.5" hidden="false" customHeight="true" outlineLevel="0" collapsed="false">
      <c r="A17" s="22" t="s">
        <v>67</v>
      </c>
      <c r="B17" s="22"/>
      <c r="C17" s="22"/>
      <c r="D17" s="22"/>
      <c r="E17" s="22"/>
    </row>
  </sheetData>
  <mergeCells count="4">
    <mergeCell ref="A1:E1"/>
    <mergeCell ref="A3:E3"/>
    <mergeCell ref="A10:E10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46"/>
  </cols>
  <sheetData>
    <row r="1" customFormat="false" ht="27.75" hidden="false" customHeight="true" outlineLevel="0" collapsed="false">
      <c r="A1" s="14" t="s">
        <v>68</v>
      </c>
      <c r="B1" s="14"/>
      <c r="C1" s="14"/>
      <c r="D1" s="14"/>
      <c r="E1" s="14"/>
    </row>
    <row r="3" customFormat="false" ht="15" hidden="false" customHeight="true" outlineLevel="0" collapsed="false">
      <c r="A3" s="4" t="s">
        <v>69</v>
      </c>
      <c r="B3" s="4"/>
      <c r="C3" s="4"/>
      <c r="D3" s="4"/>
      <c r="E3" s="4"/>
    </row>
    <row r="4" customFormat="false" ht="15" hidden="false" customHeight="true" outlineLevel="0" collapsed="false">
      <c r="A4" s="1" t="s">
        <v>70</v>
      </c>
      <c r="B4" s="16" t="n">
        <v>40</v>
      </c>
      <c r="C4" s="17" t="n">
        <f aca="false">Assumptions!B10*1.25</f>
        <v>46.4625</v>
      </c>
      <c r="D4" s="17" t="n">
        <f aca="false">B4*C4</f>
        <v>1858.5</v>
      </c>
      <c r="E4" s="7" t="s">
        <v>71</v>
      </c>
    </row>
    <row r="5" customFormat="false" ht="15" hidden="false" customHeight="true" outlineLevel="0" collapsed="false">
      <c r="A5" s="1" t="s">
        <v>72</v>
      </c>
      <c r="D5" s="17" t="n">
        <f aca="false">Assumptions!B14</f>
        <v>450</v>
      </c>
      <c r="E5" s="7" t="s">
        <v>73</v>
      </c>
    </row>
    <row r="6" customFormat="false" ht="15" hidden="false" customHeight="true" outlineLevel="0" collapsed="false">
      <c r="A6" s="18" t="s">
        <v>74</v>
      </c>
      <c r="D6" s="19" t="n">
        <f aca="false">D4+D5</f>
        <v>2308.5</v>
      </c>
    </row>
    <row r="8" customFormat="false" ht="15" hidden="false" customHeight="true" outlineLevel="0" collapsed="false">
      <c r="A8" s="4" t="s">
        <v>75</v>
      </c>
      <c r="B8" s="4"/>
      <c r="C8" s="4"/>
      <c r="D8" s="4"/>
      <c r="E8" s="4"/>
    </row>
    <row r="9" customFormat="false" ht="15" hidden="false" customHeight="true" outlineLevel="0" collapsed="false">
      <c r="A9" s="1" t="s">
        <v>76</v>
      </c>
      <c r="B9" s="16" t="n">
        <v>8</v>
      </c>
      <c r="C9" s="17" t="n">
        <f aca="false">Assumptions!B10*2</f>
        <v>74.34</v>
      </c>
      <c r="D9" s="17" t="n">
        <f aca="false">B9*C9</f>
        <v>594.72</v>
      </c>
      <c r="E9" s="7" t="s">
        <v>77</v>
      </c>
    </row>
    <row r="10" customFormat="false" ht="15" hidden="false" customHeight="true" outlineLevel="0" collapsed="false">
      <c r="A10" s="1" t="s">
        <v>78</v>
      </c>
      <c r="B10" s="16" t="n">
        <v>4</v>
      </c>
      <c r="C10" s="17" t="n">
        <f aca="false">Assumptions!B10*3</f>
        <v>111.51</v>
      </c>
      <c r="D10" s="17" t="n">
        <f aca="false">B10*C10</f>
        <v>446.04</v>
      </c>
      <c r="E10" s="7" t="s">
        <v>77</v>
      </c>
    </row>
    <row r="11" customFormat="false" ht="15" hidden="false" customHeight="true" outlineLevel="0" collapsed="false">
      <c r="A11" s="18" t="s">
        <v>79</v>
      </c>
      <c r="D11" s="19" t="n">
        <f aca="false">SUM(D9:D10)</f>
        <v>1040.76</v>
      </c>
    </row>
  </sheetData>
  <mergeCells count="3">
    <mergeCell ref="A1:E1"/>
    <mergeCell ref="A3:E3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46"/>
  </cols>
  <sheetData>
    <row r="1" customFormat="false" ht="27.75" hidden="false" customHeight="true" outlineLevel="0" collapsed="false">
      <c r="A1" s="14" t="s">
        <v>80</v>
      </c>
      <c r="B1" s="14"/>
      <c r="C1" s="14"/>
      <c r="D1" s="14"/>
    </row>
    <row r="3" customFormat="false" ht="15" hidden="false" customHeight="true" outlineLevel="0" collapsed="false">
      <c r="A3" s="23" t="s">
        <v>81</v>
      </c>
      <c r="B3" s="23" t="s">
        <v>82</v>
      </c>
      <c r="C3" s="23" t="s">
        <v>51</v>
      </c>
      <c r="D3" s="23" t="s">
        <v>83</v>
      </c>
    </row>
    <row r="4" customFormat="false" ht="15" hidden="false" customHeight="true" outlineLevel="0" collapsed="false">
      <c r="A4" s="4" t="s">
        <v>84</v>
      </c>
      <c r="B4" s="4"/>
      <c r="C4" s="4"/>
      <c r="D4" s="4"/>
    </row>
    <row r="5" customFormat="false" ht="15" hidden="false" customHeight="true" outlineLevel="0" collapsed="false">
      <c r="A5" s="1" t="s">
        <v>85</v>
      </c>
      <c r="B5" s="16" t="n">
        <f aca="false">Assumptions!B29</f>
        <v>47</v>
      </c>
      <c r="C5" s="24" t="n">
        <f aca="false">B5*Weekly!D8</f>
        <v>146933.28</v>
      </c>
      <c r="D5" s="7" t="s">
        <v>86</v>
      </c>
    </row>
    <row r="6" customFormat="false" ht="15" hidden="false" customHeight="true" outlineLevel="0" collapsed="false">
      <c r="A6" s="1" t="s">
        <v>33</v>
      </c>
      <c r="B6" s="16" t="n">
        <f aca="false">Assumptions!B25</f>
        <v>5</v>
      </c>
      <c r="C6" s="24" t="n">
        <f aca="false">B6*'Other Week Types'!D6</f>
        <v>11542.5</v>
      </c>
      <c r="D6" s="7" t="s">
        <v>87</v>
      </c>
    </row>
    <row r="7" customFormat="false" ht="15" hidden="false" customHeight="true" outlineLevel="0" collapsed="false">
      <c r="A7" s="1" t="s">
        <v>88</v>
      </c>
      <c r="B7" s="16" t="n">
        <f aca="false">Assumptions!B26</f>
        <v>7</v>
      </c>
      <c r="C7" s="24" t="n">
        <f aca="false">-B7*((Assumptions!B12*Assumptions!B10*Assumptions!B11+(Assumptions!B6-Assumptions!B12)*Assumptions!B10*Assumptions!B13)-(8*Assumptions!B10))</f>
        <v>-2601.9</v>
      </c>
      <c r="D7" s="7" t="s">
        <v>89</v>
      </c>
    </row>
    <row r="8" customFormat="false" ht="15" hidden="false" customHeight="true" outlineLevel="0" collapsed="false">
      <c r="A8" s="1" t="s">
        <v>37</v>
      </c>
      <c r="B8" s="16" t="n">
        <f aca="false">Assumptions!B27</f>
        <v>6</v>
      </c>
      <c r="C8" s="24" t="n">
        <f aca="false">B8*8*Assumptions!B10</f>
        <v>1784.16</v>
      </c>
      <c r="D8" s="7" t="s">
        <v>77</v>
      </c>
    </row>
    <row r="9" customFormat="false" ht="15" hidden="false" customHeight="true" outlineLevel="0" collapsed="false">
      <c r="A9" s="1" t="s">
        <v>90</v>
      </c>
      <c r="B9" s="16" t="n">
        <f aca="false">Assumptions!B28</f>
        <v>4</v>
      </c>
      <c r="C9" s="24" t="n">
        <f aca="false">B9*'Other Week Types'!D11</f>
        <v>4163.04</v>
      </c>
      <c r="D9" s="7" t="s">
        <v>91</v>
      </c>
    </row>
    <row r="10" customFormat="false" ht="15" hidden="false" customHeight="true" outlineLevel="0" collapsed="false">
      <c r="A10" s="25" t="s">
        <v>92</v>
      </c>
      <c r="C10" s="26" t="n">
        <f aca="false">SUM(C5:C9)</f>
        <v>161821.08</v>
      </c>
    </row>
    <row r="12" customFormat="false" ht="15" hidden="false" customHeight="true" outlineLevel="0" collapsed="false">
      <c r="A12" s="4" t="s">
        <v>93</v>
      </c>
      <c r="B12" s="4"/>
      <c r="C12" s="4"/>
      <c r="D12" s="4"/>
    </row>
    <row r="13" customFormat="false" ht="15" hidden="false" customHeight="true" outlineLevel="0" collapsed="false">
      <c r="A13" s="1" t="s">
        <v>61</v>
      </c>
      <c r="B13" s="16" t="n">
        <f aca="false">Assumptions!B29*Assumptions!B19</f>
        <v>94</v>
      </c>
      <c r="C13" s="24" t="n">
        <f aca="false">B13*Assumptions!B18</f>
        <v>18800</v>
      </c>
      <c r="D13" s="7" t="s">
        <v>94</v>
      </c>
    </row>
    <row r="14" customFormat="false" ht="15" hidden="false" customHeight="true" outlineLevel="0" collapsed="false">
      <c r="A14" s="1" t="s">
        <v>63</v>
      </c>
      <c r="B14" s="16" t="n">
        <f aca="false">Assumptions!B29*Assumptions!B21</f>
        <v>188</v>
      </c>
      <c r="C14" s="24" t="n">
        <f aca="false">B14*Assumptions!B20</f>
        <v>15040</v>
      </c>
      <c r="D14" s="7" t="s">
        <v>95</v>
      </c>
    </row>
    <row r="15" customFormat="false" ht="15" hidden="false" customHeight="true" outlineLevel="0" collapsed="false">
      <c r="A15" s="25" t="s">
        <v>96</v>
      </c>
      <c r="C15" s="26" t="n">
        <f aca="false">SUM(C13:C14)</f>
        <v>33840</v>
      </c>
    </row>
    <row r="17" customFormat="false" ht="21.75" hidden="false" customHeight="true" outlineLevel="0" collapsed="false">
      <c r="A17" s="20" t="s">
        <v>97</v>
      </c>
      <c r="C17" s="27" t="n">
        <f aca="false">C10+C15</f>
        <v>195661.08</v>
      </c>
    </row>
  </sheetData>
  <mergeCells count="3">
    <mergeCell ref="A1:D1"/>
    <mergeCell ref="A4:D4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6"/>
    <col collapsed="false" customWidth="true" hidden="false" outlineLevel="0" max="4" min="4" style="1" width="50"/>
  </cols>
  <sheetData>
    <row r="1" customFormat="false" ht="27.75" hidden="false" customHeight="true" outlineLevel="0" collapsed="false">
      <c r="A1" s="14" t="s">
        <v>98</v>
      </c>
      <c r="B1" s="14"/>
      <c r="C1" s="14"/>
      <c r="D1" s="14"/>
    </row>
    <row r="2" customFormat="false" ht="15" hidden="false" customHeight="true" outlineLevel="0" collapsed="false">
      <c r="A2" s="3" t="s">
        <v>99</v>
      </c>
      <c r="B2" s="3"/>
      <c r="C2" s="3"/>
      <c r="D2" s="3"/>
    </row>
    <row r="4" customFormat="false" ht="15" hidden="false" customHeight="true" outlineLevel="0" collapsed="false">
      <c r="A4" s="4" t="s">
        <v>100</v>
      </c>
      <c r="B4" s="4"/>
      <c r="C4" s="4"/>
      <c r="D4" s="4"/>
    </row>
    <row r="5" customFormat="false" ht="15" hidden="false" customHeight="true" outlineLevel="0" collapsed="false">
      <c r="A5" s="23" t="s">
        <v>101</v>
      </c>
      <c r="B5" s="23" t="s">
        <v>102</v>
      </c>
      <c r="C5" s="23" t="s">
        <v>103</v>
      </c>
      <c r="D5" s="23" t="s">
        <v>83</v>
      </c>
    </row>
    <row r="6" customFormat="false" ht="15" hidden="false" customHeight="true" outlineLevel="0" collapsed="false">
      <c r="A6" s="1" t="s">
        <v>104</v>
      </c>
      <c r="B6" s="24" t="n">
        <v>0</v>
      </c>
      <c r="C6" s="28" t="n">
        <v>0</v>
      </c>
      <c r="D6" s="7" t="s">
        <v>105</v>
      </c>
    </row>
    <row r="7" customFormat="false" ht="15" hidden="false" customHeight="true" outlineLevel="0" collapsed="false">
      <c r="A7" s="1" t="s">
        <v>106</v>
      </c>
      <c r="B7" s="24" t="n">
        <v>18200</v>
      </c>
      <c r="C7" s="28" t="n">
        <v>0.16</v>
      </c>
      <c r="D7" s="7" t="s">
        <v>107</v>
      </c>
    </row>
    <row r="8" customFormat="false" ht="15" hidden="false" customHeight="true" outlineLevel="0" collapsed="false">
      <c r="A8" s="1" t="s">
        <v>108</v>
      </c>
      <c r="B8" s="24" t="n">
        <v>45000</v>
      </c>
      <c r="C8" s="28" t="n">
        <v>0.3</v>
      </c>
      <c r="D8" s="7" t="s">
        <v>109</v>
      </c>
    </row>
    <row r="9" customFormat="false" ht="15" hidden="false" customHeight="true" outlineLevel="0" collapsed="false">
      <c r="A9" s="1" t="s">
        <v>110</v>
      </c>
      <c r="B9" s="24" t="n">
        <v>135000</v>
      </c>
      <c r="C9" s="28" t="n">
        <v>0.37</v>
      </c>
      <c r="D9" s="7" t="s">
        <v>111</v>
      </c>
    </row>
    <row r="10" customFormat="false" ht="15" hidden="false" customHeight="true" outlineLevel="0" collapsed="false">
      <c r="A10" s="1" t="s">
        <v>112</v>
      </c>
      <c r="B10" s="24" t="n">
        <v>190000</v>
      </c>
      <c r="C10" s="28" t="n">
        <v>0.45</v>
      </c>
      <c r="D10" s="7" t="s">
        <v>113</v>
      </c>
    </row>
    <row r="11" customFormat="false" ht="15" hidden="false" customHeight="true" outlineLevel="0" collapsed="false">
      <c r="A11" s="5" t="s">
        <v>114</v>
      </c>
      <c r="C11" s="28" t="n">
        <v>0.02</v>
      </c>
      <c r="D11" s="7" t="s">
        <v>115</v>
      </c>
    </row>
    <row r="13" customFormat="false" ht="15" hidden="false" customHeight="true" outlineLevel="0" collapsed="false">
      <c r="A13" s="4" t="s">
        <v>116</v>
      </c>
      <c r="B13" s="4"/>
      <c r="C13" s="4"/>
      <c r="D13" s="4"/>
    </row>
    <row r="14" customFormat="false" ht="15" hidden="false" customHeight="true" outlineLevel="0" collapsed="false">
      <c r="A14" s="1" t="s">
        <v>117</v>
      </c>
      <c r="C14" s="24" t="n">
        <f aca="false">Annual!C10</f>
        <v>161821.08</v>
      </c>
      <c r="D14" s="29" t="s">
        <v>118</v>
      </c>
    </row>
    <row r="15" customFormat="false" ht="15" hidden="false" customHeight="true" outlineLevel="0" collapsed="false">
      <c r="A15" s="1" t="s">
        <v>61</v>
      </c>
      <c r="C15" s="24" t="n">
        <f aca="false">Annual!C13</f>
        <v>18800</v>
      </c>
      <c r="D15" s="29" t="s">
        <v>119</v>
      </c>
    </row>
    <row r="16" customFormat="false" ht="15" hidden="false" customHeight="true" outlineLevel="0" collapsed="false">
      <c r="A16" s="1" t="s">
        <v>63</v>
      </c>
      <c r="C16" s="24" t="n">
        <f aca="false">Annual!C14</f>
        <v>15040</v>
      </c>
      <c r="D16" s="29" t="s">
        <v>120</v>
      </c>
    </row>
    <row r="17" customFormat="false" ht="15" hidden="false" customHeight="true" outlineLevel="0" collapsed="false">
      <c r="A17" s="25" t="s">
        <v>121</v>
      </c>
      <c r="C17" s="26" t="n">
        <f aca="false">IF(Assumptions!B32="Yes", C14+C15, C14+C15+C16)</f>
        <v>195661.08</v>
      </c>
      <c r="D17" s="29" t="s">
        <v>122</v>
      </c>
    </row>
    <row r="19" customFormat="false" ht="15" hidden="false" customHeight="true" outlineLevel="0" collapsed="false">
      <c r="A19" s="5" t="s">
        <v>123</v>
      </c>
    </row>
    <row r="20" customFormat="false" ht="15" hidden="false" customHeight="true" outlineLevel="0" collapsed="false">
      <c r="A20" s="1" t="s">
        <v>124</v>
      </c>
      <c r="C20" s="24" t="n">
        <f aca="false">0</f>
        <v>0</v>
      </c>
      <c r="D20" s="29" t="s">
        <v>125</v>
      </c>
    </row>
    <row r="21" customFormat="false" ht="15" hidden="false" customHeight="true" outlineLevel="0" collapsed="false">
      <c r="A21" s="1" t="s">
        <v>126</v>
      </c>
      <c r="C21" s="24" t="n">
        <f aca="false">MAX(0, MIN(C17,45000)-18200)*0.16</f>
        <v>4288</v>
      </c>
      <c r="D21" s="29" t="s">
        <v>127</v>
      </c>
    </row>
    <row r="22" customFormat="false" ht="15" hidden="false" customHeight="true" outlineLevel="0" collapsed="false">
      <c r="A22" s="1" t="s">
        <v>128</v>
      </c>
      <c r="C22" s="24" t="n">
        <f aca="false">MAX(0, MIN(C17,135000)-45000)*0.3</f>
        <v>27000</v>
      </c>
      <c r="D22" s="29" t="s">
        <v>129</v>
      </c>
    </row>
    <row r="23" customFormat="false" ht="15" hidden="false" customHeight="true" outlineLevel="0" collapsed="false">
      <c r="A23" s="1" t="s">
        <v>130</v>
      </c>
      <c r="C23" s="24" t="n">
        <f aca="false">MAX(0, MIN(C17,190000)-135000)*0.37</f>
        <v>20350</v>
      </c>
      <c r="D23" s="29" t="s">
        <v>131</v>
      </c>
    </row>
    <row r="24" customFormat="false" ht="15" hidden="false" customHeight="true" outlineLevel="0" collapsed="false">
      <c r="A24" s="1" t="s">
        <v>132</v>
      </c>
      <c r="C24" s="24" t="n">
        <f aca="false">MAX(0, C17-190000)*0.45</f>
        <v>2547.48599999999</v>
      </c>
      <c r="D24" s="29" t="s">
        <v>133</v>
      </c>
    </row>
    <row r="25" customFormat="false" ht="15" hidden="false" customHeight="true" outlineLevel="0" collapsed="false">
      <c r="A25" s="5" t="s">
        <v>134</v>
      </c>
      <c r="C25" s="30" t="n">
        <f aca="false">SUM(C20:C24)</f>
        <v>54185.486</v>
      </c>
    </row>
    <row r="26" customFormat="false" ht="15" hidden="false" customHeight="true" outlineLevel="0" collapsed="false">
      <c r="A26" s="1" t="s">
        <v>135</v>
      </c>
      <c r="C26" s="24" t="n">
        <f aca="false">C17*0.02</f>
        <v>3913.2216</v>
      </c>
    </row>
    <row r="27" customFormat="false" ht="15" hidden="false" customHeight="true" outlineLevel="0" collapsed="false">
      <c r="A27" s="25" t="s">
        <v>136</v>
      </c>
      <c r="C27" s="26" t="n">
        <f aca="false">C25+C26</f>
        <v>58098.7076</v>
      </c>
    </row>
    <row r="29" customFormat="false" ht="21.75" hidden="false" customHeight="true" outlineLevel="0" collapsed="false">
      <c r="A29" s="20" t="s">
        <v>137</v>
      </c>
      <c r="C29" s="27" t="n">
        <f aca="false">IF(Assumptions!B32="Yes", C17-C27+C16, C14+C15+C16-C27)</f>
        <v>137562.3724</v>
      </c>
      <c r="D29" s="29" t="s">
        <v>138</v>
      </c>
    </row>
    <row r="30" customFormat="false" ht="15" hidden="false" customHeight="true" outlineLevel="0" collapsed="false">
      <c r="A30" s="5" t="s">
        <v>139</v>
      </c>
      <c r="C30" s="30" t="n">
        <f aca="false">C29/52</f>
        <v>2645.43023846154</v>
      </c>
      <c r="D30" s="29" t="s">
        <v>140</v>
      </c>
    </row>
    <row r="31" customFormat="false" ht="15" hidden="false" customHeight="true" outlineLevel="0" collapsed="false">
      <c r="A31" s="1" t="s">
        <v>141</v>
      </c>
      <c r="C31" s="28" t="n">
        <f aca="false">C27/(C14+C15+C16)</f>
        <v>0.296935433454625</v>
      </c>
      <c r="D31" s="29" t="s">
        <v>142</v>
      </c>
    </row>
    <row r="33" customFormat="false" ht="15" hidden="false" customHeight="true" outlineLevel="0" collapsed="false">
      <c r="A33" s="4" t="s">
        <v>143</v>
      </c>
      <c r="B33" s="4"/>
      <c r="C33" s="4"/>
      <c r="D33" s="4"/>
    </row>
    <row r="34" customFormat="false" ht="31.5" hidden="false" customHeight="true" outlineLevel="0" collapsed="false">
      <c r="A34" s="22" t="s">
        <v>144</v>
      </c>
      <c r="B34" s="22"/>
      <c r="C34" s="22"/>
      <c r="D34" s="22"/>
    </row>
    <row r="35" customFormat="false" ht="31.5" hidden="false" customHeight="true" outlineLevel="0" collapsed="false">
      <c r="A35" s="22" t="s">
        <v>145</v>
      </c>
      <c r="B35" s="22"/>
      <c r="C35" s="22"/>
      <c r="D35" s="22"/>
    </row>
    <row r="36" customFormat="false" ht="31.5" hidden="false" customHeight="true" outlineLevel="0" collapsed="false">
      <c r="A36" s="22" t="s">
        <v>146</v>
      </c>
      <c r="B36" s="22"/>
      <c r="C36" s="22"/>
      <c r="D36" s="22"/>
    </row>
    <row r="37" customFormat="false" ht="31.5" hidden="false" customHeight="true" outlineLevel="0" collapsed="false">
      <c r="A37" s="22" t="s">
        <v>147</v>
      </c>
      <c r="B37" s="22"/>
      <c r="C37" s="22"/>
      <c r="D37" s="22"/>
    </row>
    <row r="38" customFormat="false" ht="31.5" hidden="false" customHeight="true" outlineLevel="0" collapsed="false">
      <c r="A38" s="22" t="s">
        <v>148</v>
      </c>
      <c r="B38" s="22"/>
      <c r="C38" s="22"/>
      <c r="D38" s="22"/>
    </row>
    <row r="39" customFormat="false" ht="31.5" hidden="false" customHeight="true" outlineLevel="0" collapsed="false">
      <c r="A39" s="22" t="s">
        <v>149</v>
      </c>
      <c r="B39" s="22"/>
      <c r="C39" s="22"/>
      <c r="D39" s="22"/>
    </row>
    <row r="40" customFormat="false" ht="31.5" hidden="false" customHeight="true" outlineLevel="0" collapsed="false">
      <c r="A40" s="22" t="s">
        <v>150</v>
      </c>
      <c r="B40" s="22"/>
      <c r="C40" s="22"/>
      <c r="D40" s="22"/>
    </row>
  </sheetData>
  <mergeCells count="12">
    <mergeCell ref="A1:D1"/>
    <mergeCell ref="A2:D2"/>
    <mergeCell ref="A4:D4"/>
    <mergeCell ref="A13:D13"/>
    <mergeCell ref="A33:D33"/>
    <mergeCell ref="A34:D34"/>
    <mergeCell ref="A35:D35"/>
    <mergeCell ref="A36:D36"/>
    <mergeCell ref="A37:D37"/>
    <mergeCell ref="A38:D38"/>
    <mergeCell ref="A39:D3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</cols>
  <sheetData>
    <row r="1" customFormat="false" ht="27.75" hidden="false" customHeight="true" outlineLevel="0" collapsed="false">
      <c r="A1" s="14" t="s">
        <v>151</v>
      </c>
      <c r="B1" s="14"/>
    </row>
    <row r="2" customFormat="false" ht="15" hidden="false" customHeight="true" outlineLevel="0" collapsed="false">
      <c r="A2" s="3" t="s">
        <v>152</v>
      </c>
      <c r="B2" s="3"/>
    </row>
    <row r="4" customFormat="false" ht="31.5" hidden="false" customHeight="true" outlineLevel="0" collapsed="false">
      <c r="A4" s="31"/>
      <c r="B4" s="31"/>
    </row>
    <row r="5" customFormat="false" ht="31.5" hidden="false" customHeight="true" outlineLevel="0" collapsed="false">
      <c r="A5" s="32" t="s">
        <v>153</v>
      </c>
      <c r="B5" s="33" t="s">
        <v>154</v>
      </c>
    </row>
    <row r="6" customFormat="false" ht="31.5" hidden="false" customHeight="true" outlineLevel="0" collapsed="false">
      <c r="A6" s="32" t="s">
        <v>153</v>
      </c>
      <c r="B6" s="33" t="s">
        <v>155</v>
      </c>
    </row>
    <row r="7" customFormat="false" ht="31.5" hidden="false" customHeight="true" outlineLevel="0" collapsed="false">
      <c r="A7" s="34" t="s">
        <v>156</v>
      </c>
      <c r="B7" s="33" t="s">
        <v>157</v>
      </c>
    </row>
    <row r="8" customFormat="false" ht="31.5" hidden="false" customHeight="true" outlineLevel="0" collapsed="false">
      <c r="A8" s="32" t="s">
        <v>153</v>
      </c>
      <c r="B8" s="33" t="s">
        <v>158</v>
      </c>
    </row>
    <row r="9" customFormat="false" ht="31.5" hidden="false" customHeight="true" outlineLevel="0" collapsed="false"/>
    <row r="10" customFormat="false" ht="31.5" hidden="false" customHeight="true" outlineLevel="0" collapsed="false">
      <c r="A10" s="31"/>
      <c r="B10" s="31"/>
    </row>
    <row r="11" customFormat="false" ht="31.5" hidden="false" customHeight="true" outlineLevel="0" collapsed="false">
      <c r="A11" s="32" t="s">
        <v>153</v>
      </c>
      <c r="B11" s="33" t="s">
        <v>159</v>
      </c>
    </row>
    <row r="12" customFormat="false" ht="31.5" hidden="false" customHeight="true" outlineLevel="0" collapsed="false">
      <c r="A12" s="32" t="s">
        <v>153</v>
      </c>
      <c r="B12" s="33" t="s">
        <v>160</v>
      </c>
    </row>
    <row r="13" customFormat="false" ht="31.5" hidden="false" customHeight="true" outlineLevel="0" collapsed="false">
      <c r="A13" s="34" t="s">
        <v>156</v>
      </c>
      <c r="B13" s="33" t="s">
        <v>161</v>
      </c>
    </row>
    <row r="14" customFormat="false" ht="31.5" hidden="false" customHeight="true" outlineLevel="0" collapsed="false">
      <c r="A14" s="35" t="s">
        <v>162</v>
      </c>
      <c r="B14" s="33" t="s">
        <v>163</v>
      </c>
    </row>
    <row r="15" customFormat="false" ht="31.5" hidden="false" customHeight="true" outlineLevel="0" collapsed="false"/>
    <row r="16" customFormat="false" ht="31.5" hidden="false" customHeight="true" outlineLevel="0" collapsed="false">
      <c r="A16" s="31"/>
      <c r="B16" s="31"/>
    </row>
    <row r="17" customFormat="false" ht="31.5" hidden="false" customHeight="true" outlineLevel="0" collapsed="false">
      <c r="B17" s="33" t="s">
        <v>164</v>
      </c>
    </row>
    <row r="18" customFormat="false" ht="31.5" hidden="false" customHeight="true" outlineLevel="0" collapsed="false">
      <c r="A18" s="35" t="s">
        <v>162</v>
      </c>
      <c r="B18" s="33" t="s">
        <v>165</v>
      </c>
    </row>
    <row r="19" customFormat="false" ht="31.5" hidden="false" customHeight="true" outlineLevel="0" collapsed="false">
      <c r="A19" s="34" t="s">
        <v>156</v>
      </c>
      <c r="B19" s="33" t="s">
        <v>166</v>
      </c>
    </row>
    <row r="20" customFormat="false" ht="31.5" hidden="false" customHeight="true" outlineLevel="0" collapsed="false">
      <c r="A20" s="34" t="s">
        <v>156</v>
      </c>
      <c r="B20" s="33" t="s">
        <v>167</v>
      </c>
    </row>
    <row r="21" customFormat="false" ht="31.5" hidden="false" customHeight="true" outlineLevel="0" collapsed="false">
      <c r="A21" s="34" t="s">
        <v>156</v>
      </c>
      <c r="B21" s="33" t="s">
        <v>168</v>
      </c>
    </row>
    <row r="22" customFormat="false" ht="31.5" hidden="false" customHeight="true" outlineLevel="0" collapsed="false"/>
    <row r="23" customFormat="false" ht="31.5" hidden="false" customHeight="true" outlineLevel="0" collapsed="false">
      <c r="A23" s="31"/>
      <c r="B23" s="31"/>
    </row>
    <row r="24" customFormat="false" ht="31.5" hidden="false" customHeight="true" outlineLevel="0" collapsed="false">
      <c r="A24" s="32" t="s">
        <v>153</v>
      </c>
      <c r="B24" s="33" t="s">
        <v>169</v>
      </c>
    </row>
    <row r="25" customFormat="false" ht="31.5" hidden="false" customHeight="true" outlineLevel="0" collapsed="false">
      <c r="A25" s="34" t="s">
        <v>156</v>
      </c>
      <c r="B25" s="33" t="s">
        <v>170</v>
      </c>
    </row>
    <row r="26" customFormat="false" ht="31.5" hidden="false" customHeight="true" outlineLevel="0" collapsed="false">
      <c r="A26" s="34" t="s">
        <v>156</v>
      </c>
      <c r="B26" s="33" t="s">
        <v>171</v>
      </c>
    </row>
    <row r="27" customFormat="false" ht="31.5" hidden="false" customHeight="true" outlineLevel="0" collapsed="false">
      <c r="A27" s="35" t="s">
        <v>162</v>
      </c>
      <c r="B27" s="33" t="s">
        <v>172</v>
      </c>
    </row>
    <row r="28" customFormat="false" ht="31.5" hidden="false" customHeight="true" outlineLevel="0" collapsed="false">
      <c r="A28" s="35" t="s">
        <v>162</v>
      </c>
      <c r="B28" s="33" t="s">
        <v>173</v>
      </c>
    </row>
    <row r="29" customFormat="false" ht="31.5" hidden="false" customHeight="true" outlineLevel="0" collapsed="false"/>
    <row r="30" customFormat="false" ht="31.5" hidden="false" customHeight="true" outlineLevel="0" collapsed="false">
      <c r="A30" s="31"/>
      <c r="B30" s="31"/>
    </row>
    <row r="31" customFormat="false" ht="31.5" hidden="false" customHeight="true" outlineLevel="0" collapsed="false">
      <c r="A31" s="35" t="s">
        <v>162</v>
      </c>
      <c r="B31" s="33" t="s">
        <v>174</v>
      </c>
    </row>
    <row r="32" customFormat="false" ht="31.5" hidden="false" customHeight="true" outlineLevel="0" collapsed="false">
      <c r="A32" s="35" t="s">
        <v>162</v>
      </c>
      <c r="B32" s="33" t="s">
        <v>175</v>
      </c>
    </row>
    <row r="33" customFormat="false" ht="31.5" hidden="false" customHeight="true" outlineLevel="0" collapsed="false">
      <c r="A33" s="35" t="s">
        <v>162</v>
      </c>
      <c r="B33" s="33" t="s">
        <v>176</v>
      </c>
    </row>
    <row r="34" customFormat="false" ht="31.5" hidden="false" customHeight="true" outlineLevel="0" collapsed="false">
      <c r="A34" s="35" t="s">
        <v>162</v>
      </c>
      <c r="B34" s="33" t="s">
        <v>177</v>
      </c>
    </row>
    <row r="35" customFormat="false" ht="31.5" hidden="false" customHeight="true" outlineLevel="0" collapsed="false">
      <c r="A35" s="35" t="s">
        <v>162</v>
      </c>
      <c r="B35" s="33" t="s">
        <v>178</v>
      </c>
    </row>
    <row r="36" customFormat="false" ht="31.5" hidden="false" customHeight="true" outlineLevel="0" collapsed="false">
      <c r="A36" s="35" t="s">
        <v>162</v>
      </c>
      <c r="B36" s="33" t="s">
        <v>179</v>
      </c>
    </row>
    <row r="37" customFormat="false" ht="31.5" hidden="false" customHeight="true" outlineLevel="0" collapsed="false">
      <c r="A37" s="35" t="s">
        <v>162</v>
      </c>
      <c r="B37" s="33" t="s">
        <v>180</v>
      </c>
    </row>
    <row r="38" customFormat="false" ht="31.5" hidden="false" customHeight="true" outlineLevel="0" collapsed="false">
      <c r="A38" s="35" t="s">
        <v>162</v>
      </c>
      <c r="B38" s="33" t="s">
        <v>181</v>
      </c>
    </row>
    <row r="39" customFormat="false" ht="31.5" hidden="false" customHeight="true" outlineLevel="0" collapsed="false">
      <c r="A39" s="35" t="s">
        <v>162</v>
      </c>
      <c r="B39" s="33" t="s">
        <v>182</v>
      </c>
    </row>
    <row r="40" customFormat="false" ht="31.5" hidden="false" customHeight="true" outlineLevel="0" collapsed="false"/>
    <row r="41" customFormat="false" ht="31.5" hidden="false" customHeight="true" outlineLevel="0" collapsed="false">
      <c r="A41" s="31"/>
      <c r="B41" s="31"/>
    </row>
    <row r="42" customFormat="false" ht="31.5" hidden="false" customHeight="true" outlineLevel="0" collapsed="false">
      <c r="A42" s="32" t="s">
        <v>153</v>
      </c>
      <c r="B42" s="33" t="s">
        <v>183</v>
      </c>
    </row>
    <row r="43" customFormat="false" ht="31.5" hidden="false" customHeight="true" outlineLevel="0" collapsed="false">
      <c r="A43" s="32" t="s">
        <v>153</v>
      </c>
      <c r="B43" s="33" t="s">
        <v>184</v>
      </c>
    </row>
    <row r="44" customFormat="false" ht="31.5" hidden="false" customHeight="true" outlineLevel="0" collapsed="false">
      <c r="A44" s="32" t="s">
        <v>153</v>
      </c>
      <c r="B44" s="33" t="s">
        <v>185</v>
      </c>
    </row>
    <row r="45" customFormat="false" ht="31.5" hidden="false" customHeight="true" outlineLevel="0" collapsed="false">
      <c r="A45" s="32" t="s">
        <v>153</v>
      </c>
      <c r="B45" s="33" t="s">
        <v>186</v>
      </c>
    </row>
    <row r="46" customFormat="false" ht="31.5" hidden="false" customHeight="true" outlineLevel="0" collapsed="false">
      <c r="A46" s="32" t="s">
        <v>153</v>
      </c>
      <c r="B46" s="33" t="s">
        <v>187</v>
      </c>
    </row>
    <row r="47" customFormat="false" ht="31.5" hidden="false" customHeight="true" outlineLevel="0" collapsed="false"/>
    <row r="48" customFormat="false" ht="31.5" hidden="false" customHeight="true" outlineLevel="0" collapsed="false">
      <c r="A48" s="31"/>
      <c r="B48" s="31"/>
    </row>
    <row r="49" customFormat="false" ht="31.5" hidden="false" customHeight="true" outlineLevel="0" collapsed="false">
      <c r="A49" s="32" t="s">
        <v>153</v>
      </c>
      <c r="B49" s="33" t="s">
        <v>188</v>
      </c>
    </row>
    <row r="50" customFormat="false" ht="31.5" hidden="false" customHeight="true" outlineLevel="0" collapsed="false">
      <c r="A50" s="34" t="s">
        <v>156</v>
      </c>
      <c r="B50" s="33" t="s">
        <v>189</v>
      </c>
    </row>
    <row r="51" customFormat="false" ht="31.5" hidden="false" customHeight="true" outlineLevel="0" collapsed="false">
      <c r="A51" s="35" t="s">
        <v>162</v>
      </c>
      <c r="B51" s="33" t="s">
        <v>190</v>
      </c>
    </row>
    <row r="52" customFormat="false" ht="31.5" hidden="false" customHeight="true" outlineLevel="0" collapsed="false">
      <c r="A52" s="35" t="s">
        <v>162</v>
      </c>
      <c r="B52" s="33" t="s">
        <v>191</v>
      </c>
    </row>
    <row r="53" customFormat="false" ht="31.5" hidden="false" customHeight="true" outlineLevel="0" collapsed="false"/>
    <row r="54" customFormat="false" ht="31.5" hidden="false" customHeight="true" outlineLevel="0" collapsed="false">
      <c r="A54" s="31"/>
      <c r="B54" s="31"/>
    </row>
    <row r="55" customFormat="false" ht="31.5" hidden="false" customHeight="true" outlineLevel="0" collapsed="false">
      <c r="A55" s="36" t="s">
        <v>192</v>
      </c>
      <c r="B55" s="33" t="s">
        <v>193</v>
      </c>
    </row>
    <row r="56" customFormat="false" ht="31.5" hidden="false" customHeight="true" outlineLevel="0" collapsed="false">
      <c r="A56" s="36" t="s">
        <v>192</v>
      </c>
      <c r="B56" s="33" t="s">
        <v>194</v>
      </c>
    </row>
    <row r="57" customFormat="false" ht="31.5" hidden="false" customHeight="true" outlineLevel="0" collapsed="false">
      <c r="A57" s="36" t="s">
        <v>192</v>
      </c>
      <c r="B57" s="33" t="s">
        <v>195</v>
      </c>
    </row>
    <row r="58" customFormat="false" ht="31.5" hidden="false" customHeight="true" outlineLevel="0" collapsed="false">
      <c r="A58" s="36" t="s">
        <v>192</v>
      </c>
      <c r="B58" s="33" t="s">
        <v>196</v>
      </c>
    </row>
    <row r="59" customFormat="false" ht="31.5" hidden="false" customHeight="true" outlineLevel="0" collapsed="false">
      <c r="A59" s="36" t="s">
        <v>192</v>
      </c>
      <c r="B59" s="33" t="s">
        <v>197</v>
      </c>
    </row>
  </sheetData>
  <mergeCells count="10">
    <mergeCell ref="A1:B1"/>
    <mergeCell ref="A2:B2"/>
    <mergeCell ref="A4:B4"/>
    <mergeCell ref="A10:B10"/>
    <mergeCell ref="A16:B16"/>
    <mergeCell ref="A23:B23"/>
    <mergeCell ref="A30:B30"/>
    <mergeCell ref="A41:B41"/>
    <mergeCell ref="A48:B48"/>
    <mergeCell ref="A54:B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60"/>
  </cols>
  <sheetData>
    <row r="1" customFormat="false" ht="27.75" hidden="false" customHeight="true" outlineLevel="0" collapsed="false">
      <c r="A1" s="14" t="s">
        <v>198</v>
      </c>
      <c r="B1" s="14"/>
      <c r="C1" s="14"/>
    </row>
    <row r="3" customFormat="false" ht="15" hidden="false" customHeight="true" outlineLevel="0" collapsed="false">
      <c r="A3" s="37"/>
      <c r="B3" s="4" t="s">
        <v>199</v>
      </c>
      <c r="C3" s="4"/>
    </row>
    <row r="4" customFormat="false" ht="34.5" hidden="false" customHeight="true" outlineLevel="0" collapsed="false">
      <c r="A4" s="38" t="s">
        <v>200</v>
      </c>
      <c r="B4" s="39" t="s">
        <v>201</v>
      </c>
      <c r="C4" s="40" t="s">
        <v>202</v>
      </c>
    </row>
    <row r="5" customFormat="false" ht="23.25" hidden="false" customHeight="true" outlineLevel="0" collapsed="false">
      <c r="A5" s="38" t="s">
        <v>200</v>
      </c>
      <c r="B5" s="39" t="s">
        <v>203</v>
      </c>
      <c r="C5" s="40" t="s">
        <v>204</v>
      </c>
    </row>
    <row r="6" customFormat="false" ht="15" hidden="false" customHeight="true" outlineLevel="0" collapsed="false">
      <c r="A6" s="38" t="s">
        <v>200</v>
      </c>
      <c r="B6" s="39" t="s">
        <v>205</v>
      </c>
      <c r="C6" s="40" t="s">
        <v>206</v>
      </c>
    </row>
    <row r="7" customFormat="false" ht="34.5" hidden="false" customHeight="true" outlineLevel="0" collapsed="false">
      <c r="A7" s="38" t="s">
        <v>200</v>
      </c>
      <c r="B7" s="39" t="s">
        <v>207</v>
      </c>
      <c r="C7" s="40" t="s">
        <v>208</v>
      </c>
    </row>
    <row r="8" customFormat="false" ht="15" hidden="false" customHeight="true" outlineLevel="0" collapsed="false">
      <c r="A8" s="37"/>
      <c r="B8" s="4" t="s">
        <v>209</v>
      </c>
      <c r="C8" s="4"/>
    </row>
    <row r="9" customFormat="false" ht="34.5" hidden="false" customHeight="true" outlineLevel="0" collapsed="false">
      <c r="A9" s="38" t="s">
        <v>200</v>
      </c>
      <c r="B9" s="39" t="s">
        <v>210</v>
      </c>
      <c r="C9" s="40" t="s">
        <v>211</v>
      </c>
    </row>
    <row r="10" customFormat="false" ht="23.25" hidden="false" customHeight="true" outlineLevel="0" collapsed="false">
      <c r="A10" s="38" t="s">
        <v>200</v>
      </c>
      <c r="B10" s="39" t="s">
        <v>212</v>
      </c>
      <c r="C10" s="40" t="s">
        <v>213</v>
      </c>
    </row>
    <row r="11" customFormat="false" ht="34.5" hidden="false" customHeight="true" outlineLevel="0" collapsed="false">
      <c r="A11" s="38" t="s">
        <v>200</v>
      </c>
      <c r="B11" s="39" t="s">
        <v>214</v>
      </c>
      <c r="C11" s="40" t="s">
        <v>215</v>
      </c>
    </row>
    <row r="12" customFormat="false" ht="15" hidden="false" customHeight="true" outlineLevel="0" collapsed="false">
      <c r="A12" s="38" t="s">
        <v>200</v>
      </c>
      <c r="B12" s="39" t="s">
        <v>216</v>
      </c>
      <c r="C12" s="40" t="s">
        <v>217</v>
      </c>
    </row>
    <row r="13" customFormat="false" ht="15" hidden="false" customHeight="true" outlineLevel="0" collapsed="false">
      <c r="A13" s="37"/>
      <c r="B13" s="4" t="s">
        <v>218</v>
      </c>
      <c r="C13" s="4"/>
    </row>
    <row r="14" customFormat="false" ht="23.25" hidden="false" customHeight="true" outlineLevel="0" collapsed="false">
      <c r="A14" s="38" t="s">
        <v>200</v>
      </c>
      <c r="B14" s="39" t="s">
        <v>219</v>
      </c>
      <c r="C14" s="40" t="s">
        <v>220</v>
      </c>
    </row>
    <row r="15" customFormat="false" ht="23.25" hidden="false" customHeight="true" outlineLevel="0" collapsed="false">
      <c r="A15" s="38" t="s">
        <v>200</v>
      </c>
      <c r="B15" s="39" t="s">
        <v>221</v>
      </c>
      <c r="C15" s="40" t="s">
        <v>222</v>
      </c>
    </row>
    <row r="16" customFormat="false" ht="34.5" hidden="false" customHeight="true" outlineLevel="0" collapsed="false">
      <c r="A16" s="38" t="s">
        <v>200</v>
      </c>
      <c r="B16" s="39" t="s">
        <v>223</v>
      </c>
      <c r="C16" s="40" t="s">
        <v>224</v>
      </c>
    </row>
    <row r="17" customFormat="false" ht="15" hidden="false" customHeight="true" outlineLevel="0" collapsed="false">
      <c r="A17" s="37"/>
      <c r="B17" s="4" t="s">
        <v>225</v>
      </c>
      <c r="C17" s="4"/>
    </row>
    <row r="18" customFormat="false" ht="15" hidden="false" customHeight="true" outlineLevel="0" collapsed="false">
      <c r="A18" s="38" t="s">
        <v>200</v>
      </c>
      <c r="B18" s="39" t="s">
        <v>226</v>
      </c>
      <c r="C18" s="40" t="s">
        <v>227</v>
      </c>
    </row>
    <row r="19" customFormat="false" ht="23.25" hidden="false" customHeight="true" outlineLevel="0" collapsed="false">
      <c r="A19" s="38" t="s">
        <v>200</v>
      </c>
      <c r="B19" s="39" t="s">
        <v>228</v>
      </c>
      <c r="C19" s="40" t="s">
        <v>229</v>
      </c>
    </row>
    <row r="20" customFormat="false" ht="23.25" hidden="false" customHeight="true" outlineLevel="0" collapsed="false">
      <c r="A20" s="38" t="s">
        <v>200</v>
      </c>
      <c r="B20" s="39" t="s">
        <v>230</v>
      </c>
      <c r="C20" s="40" t="s">
        <v>231</v>
      </c>
    </row>
    <row r="21" customFormat="false" ht="15" hidden="false" customHeight="true" outlineLevel="0" collapsed="false">
      <c r="A21" s="38" t="s">
        <v>200</v>
      </c>
      <c r="B21" s="39" t="s">
        <v>232</v>
      </c>
      <c r="C21" s="40" t="s">
        <v>233</v>
      </c>
    </row>
    <row r="22" customFormat="false" ht="15" hidden="false" customHeight="true" outlineLevel="0" collapsed="false">
      <c r="A22" s="38" t="s">
        <v>200</v>
      </c>
      <c r="B22" s="39" t="s">
        <v>234</v>
      </c>
      <c r="C22" s="40" t="s">
        <v>235</v>
      </c>
    </row>
    <row r="23" customFormat="false" ht="23.25" hidden="false" customHeight="true" outlineLevel="0" collapsed="false">
      <c r="A23" s="38" t="s">
        <v>200</v>
      </c>
      <c r="B23" s="39" t="s">
        <v>236</v>
      </c>
      <c r="C23" s="40" t="s">
        <v>237</v>
      </c>
    </row>
    <row r="24" customFormat="false" ht="15" hidden="false" customHeight="true" outlineLevel="0" collapsed="false">
      <c r="A24" s="38" t="s">
        <v>200</v>
      </c>
      <c r="B24" s="39" t="s">
        <v>238</v>
      </c>
      <c r="C24" s="40" t="s">
        <v>239</v>
      </c>
    </row>
    <row r="25" customFormat="false" ht="15" hidden="false" customHeight="true" outlineLevel="0" collapsed="false">
      <c r="A25" s="38" t="s">
        <v>200</v>
      </c>
      <c r="B25" s="39" t="s">
        <v>240</v>
      </c>
      <c r="C25" s="40" t="s">
        <v>241</v>
      </c>
    </row>
    <row r="26" customFormat="false" ht="15" hidden="false" customHeight="true" outlineLevel="0" collapsed="false">
      <c r="A26" s="37"/>
      <c r="B26" s="4" t="s">
        <v>242</v>
      </c>
      <c r="C26" s="4"/>
    </row>
    <row r="27" customFormat="false" ht="15" hidden="false" customHeight="true" outlineLevel="0" collapsed="false">
      <c r="A27" s="38" t="s">
        <v>200</v>
      </c>
      <c r="B27" s="39" t="s">
        <v>243</v>
      </c>
      <c r="C27" s="40" t="s">
        <v>244</v>
      </c>
    </row>
    <row r="28" customFormat="false" ht="23.25" hidden="false" customHeight="true" outlineLevel="0" collapsed="false">
      <c r="A28" s="38" t="s">
        <v>200</v>
      </c>
      <c r="B28" s="39" t="s">
        <v>245</v>
      </c>
      <c r="C28" s="40" t="s">
        <v>246</v>
      </c>
    </row>
    <row r="29" customFormat="false" ht="23.25" hidden="false" customHeight="true" outlineLevel="0" collapsed="false">
      <c r="A29" s="38" t="s">
        <v>200</v>
      </c>
      <c r="B29" s="39" t="s">
        <v>247</v>
      </c>
      <c r="C29" s="40" t="s">
        <v>248</v>
      </c>
    </row>
    <row r="30" customFormat="false" ht="15" hidden="false" customHeight="true" outlineLevel="0" collapsed="false">
      <c r="A30" s="37"/>
      <c r="B30" s="4" t="s">
        <v>249</v>
      </c>
      <c r="C30" s="4"/>
    </row>
    <row r="31" customFormat="false" ht="23.25" hidden="false" customHeight="true" outlineLevel="0" collapsed="false">
      <c r="A31" s="38" t="s">
        <v>200</v>
      </c>
      <c r="B31" s="39" t="s">
        <v>250</v>
      </c>
      <c r="C31" s="40" t="s">
        <v>251</v>
      </c>
    </row>
    <row r="32" customFormat="false" ht="15" hidden="false" customHeight="true" outlineLevel="0" collapsed="false">
      <c r="A32" s="38" t="s">
        <v>200</v>
      </c>
      <c r="B32" s="39" t="s">
        <v>252</v>
      </c>
      <c r="C32" s="40" t="s">
        <v>253</v>
      </c>
    </row>
  </sheetData>
  <mergeCells count="7">
    <mergeCell ref="A1:C1"/>
    <mergeCell ref="B3:C3"/>
    <mergeCell ref="B8:C8"/>
    <mergeCell ref="B13:C13"/>
    <mergeCell ref="B17:C17"/>
    <mergeCell ref="B26:C26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4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41" t="s">
        <v>254</v>
      </c>
      <c r="B1" s="41"/>
      <c r="C1" s="41"/>
      <c r="D1" s="41"/>
      <c r="E1" s="41"/>
      <c r="F1" s="41"/>
    </row>
    <row r="2" customFormat="false" ht="30" hidden="false" customHeight="true" outlineLevel="0" collapsed="false">
      <c r="A2" s="22" t="s">
        <v>255</v>
      </c>
      <c r="B2" s="22"/>
      <c r="C2" s="22"/>
      <c r="D2" s="22"/>
      <c r="E2" s="22"/>
      <c r="F2" s="22"/>
    </row>
    <row r="4" customFormat="false" ht="15" hidden="false" customHeight="false" outlineLevel="0" collapsed="false">
      <c r="A4" s="42" t="s">
        <v>256</v>
      </c>
      <c r="B4" s="42"/>
      <c r="C4" s="42"/>
      <c r="D4" s="42"/>
      <c r="E4" s="42"/>
      <c r="F4" s="42"/>
    </row>
    <row r="5" customFormat="false" ht="15" hidden="false" customHeight="false" outlineLevel="0" collapsed="false">
      <c r="A5" s="0" t="s">
        <v>257</v>
      </c>
      <c r="B5" s="43" t="n">
        <f aca="false">'Tax &amp; Net'!C17</f>
        <v>195661.08</v>
      </c>
      <c r="F5" s="44" t="s">
        <v>258</v>
      </c>
    </row>
    <row r="6" customFormat="false" ht="15" hidden="false" customHeight="false" outlineLevel="0" collapsed="false">
      <c r="A6" s="0" t="s">
        <v>259</v>
      </c>
      <c r="B6" s="45" t="str">
        <f aca="false">IF(B5&lt;=101000,"Tier 0",IF(B5&lt;=118000,"Tier 1",IF(B5&lt;=158000,"Tier 2","Tier 3")))</f>
        <v>Tier 3</v>
      </c>
      <c r="F6" s="44" t="s">
        <v>260</v>
      </c>
    </row>
    <row r="7" customFormat="false" ht="15" hidden="false" customHeight="false" outlineLevel="0" collapsed="false">
      <c r="A7" s="0" t="s">
        <v>261</v>
      </c>
      <c r="B7" s="46" t="n">
        <f aca="false">IF(B5&lt;=101000,0,IF(B5&lt;=118000,0.01,IF(B5&lt;=158000,0.0125,0.015)))</f>
        <v>0.015</v>
      </c>
      <c r="F7" s="44" t="s">
        <v>262</v>
      </c>
    </row>
    <row r="8" customFormat="false" ht="15" hidden="false" customHeight="false" outlineLevel="0" collapsed="false">
      <c r="A8" s="0" t="s">
        <v>263</v>
      </c>
      <c r="B8" s="47" t="n">
        <f aca="false">B5*B7</f>
        <v>2934.9162</v>
      </c>
      <c r="F8" s="0" t="s">
        <v>264</v>
      </c>
    </row>
    <row r="9" customFormat="false" ht="15" hidden="false" customHeight="false" outlineLevel="0" collapsed="false">
      <c r="A9" s="0" t="s">
        <v>265</v>
      </c>
      <c r="B9" s="45" t="str">
        <f aca="false">IF(B5&lt;=151000, "Rebate applies", "0% rebate (Tier 3)")</f>
        <v>0% rebate (Tier 3)</v>
      </c>
      <c r="F9" s="44" t="s">
        <v>266</v>
      </c>
    </row>
    <row r="11" customFormat="false" ht="15" hidden="false" customHeight="false" outlineLevel="0" collapsed="false">
      <c r="A11" s="42" t="s">
        <v>267</v>
      </c>
      <c r="B11" s="42"/>
      <c r="C11" s="42"/>
      <c r="D11" s="42"/>
      <c r="E11" s="42"/>
      <c r="F11" s="42"/>
    </row>
    <row r="12" customFormat="false" ht="15" hidden="false" customHeight="false" outlineLevel="0" collapsed="false">
      <c r="A12" s="15" t="s">
        <v>268</v>
      </c>
      <c r="B12" s="15" t="s">
        <v>269</v>
      </c>
      <c r="C12" s="15" t="s">
        <v>270</v>
      </c>
      <c r="D12" s="15" t="s">
        <v>271</v>
      </c>
      <c r="E12" s="15" t="s">
        <v>272</v>
      </c>
      <c r="F12" s="15" t="s">
        <v>273</v>
      </c>
    </row>
    <row r="13" customFormat="false" ht="27.75" hidden="false" customHeight="true" outlineLevel="0" collapsed="false">
      <c r="A13" s="48" t="s">
        <v>274</v>
      </c>
      <c r="B13" s="49" t="n">
        <v>0</v>
      </c>
      <c r="C13" s="49" t="n">
        <f aca="false">IF(B13=0, B$8, 0)</f>
        <v>2934.9162</v>
      </c>
      <c r="D13" s="49" t="n">
        <f aca="false">B13+C13</f>
        <v>2934.9162</v>
      </c>
      <c r="E13" s="49" t="n">
        <f aca="false">D13-B$8</f>
        <v>0</v>
      </c>
      <c r="F13" s="29" t="s">
        <v>275</v>
      </c>
    </row>
    <row r="14" customFormat="false" ht="27.75" hidden="false" customHeight="true" outlineLevel="0" collapsed="false">
      <c r="A14" s="50" t="s">
        <v>276</v>
      </c>
      <c r="B14" s="51" t="n">
        <v>1450</v>
      </c>
      <c r="C14" s="51" t="n">
        <f aca="false">IF(B14=0, B$8, 0)</f>
        <v>0</v>
      </c>
      <c r="D14" s="51" t="n">
        <f aca="false">B14+C14</f>
        <v>1450</v>
      </c>
      <c r="E14" s="51" t="n">
        <f aca="false">D14-B$8</f>
        <v>-1484.9162</v>
      </c>
      <c r="F14" s="52" t="s">
        <v>277</v>
      </c>
    </row>
    <row r="15" customFormat="false" ht="27.75" hidden="false" customHeight="true" outlineLevel="0" collapsed="false">
      <c r="A15" s="48" t="s">
        <v>278</v>
      </c>
      <c r="B15" s="49" t="n">
        <v>1900</v>
      </c>
      <c r="C15" s="49" t="n">
        <f aca="false">IF(B15=0, B$8, 0)</f>
        <v>0</v>
      </c>
      <c r="D15" s="49" t="n">
        <f aca="false">B15+C15</f>
        <v>1900</v>
      </c>
      <c r="E15" s="49" t="n">
        <f aca="false">D15-B$8</f>
        <v>-1034.9162</v>
      </c>
      <c r="F15" s="29" t="s">
        <v>279</v>
      </c>
    </row>
    <row r="16" customFormat="false" ht="27.75" hidden="false" customHeight="true" outlineLevel="0" collapsed="false">
      <c r="A16" s="48" t="s">
        <v>280</v>
      </c>
      <c r="B16" s="49" t="n">
        <v>2300</v>
      </c>
      <c r="C16" s="49" t="n">
        <f aca="false">IF(B16=0, B$8, 0)</f>
        <v>0</v>
      </c>
      <c r="D16" s="49" t="n">
        <f aca="false">B16+C16</f>
        <v>2300</v>
      </c>
      <c r="E16" s="49" t="n">
        <f aca="false">D16-B$8</f>
        <v>-634.9162</v>
      </c>
      <c r="F16" s="29" t="s">
        <v>281</v>
      </c>
    </row>
    <row r="17" customFormat="false" ht="27.75" hidden="false" customHeight="true" outlineLevel="0" collapsed="false">
      <c r="A17" s="53" t="s">
        <v>282</v>
      </c>
      <c r="B17" s="54" t="n">
        <v>3000</v>
      </c>
      <c r="C17" s="54" t="n">
        <f aca="false">IF(B17=0, B$8, 0)</f>
        <v>0</v>
      </c>
      <c r="D17" s="54" t="n">
        <f aca="false">B17+C17</f>
        <v>3000</v>
      </c>
      <c r="E17" s="54" t="n">
        <f aca="false">D17-B$8</f>
        <v>65.0838000000003</v>
      </c>
      <c r="F17" s="55" t="s">
        <v>283</v>
      </c>
    </row>
    <row r="18" customFormat="false" ht="27.75" hidden="false" customHeight="true" outlineLevel="0" collapsed="false">
      <c r="A18" s="53" t="s">
        <v>284</v>
      </c>
      <c r="B18" s="54" t="n">
        <v>3400</v>
      </c>
      <c r="C18" s="54" t="n">
        <f aca="false">IF(B18=0, B$8, 0)</f>
        <v>0</v>
      </c>
      <c r="D18" s="54" t="n">
        <f aca="false">B18+C18</f>
        <v>3400</v>
      </c>
      <c r="E18" s="54" t="n">
        <f aca="false">D18-B$8</f>
        <v>465.0838</v>
      </c>
      <c r="F18" s="55" t="s">
        <v>285</v>
      </c>
    </row>
    <row r="19" customFormat="false" ht="27.75" hidden="false" customHeight="true" outlineLevel="0" collapsed="false">
      <c r="A19" s="48" t="s">
        <v>286</v>
      </c>
      <c r="B19" s="49" t="n">
        <v>4800</v>
      </c>
      <c r="C19" s="49" t="n">
        <f aca="false">IF(B19=0, B$8, 0)</f>
        <v>0</v>
      </c>
      <c r="D19" s="49" t="n">
        <f aca="false">B19+C19</f>
        <v>4800</v>
      </c>
      <c r="E19" s="49" t="n">
        <f aca="false">D19-B$8</f>
        <v>1865.0838</v>
      </c>
      <c r="F19" s="29" t="s">
        <v>287</v>
      </c>
    </row>
    <row r="20" customFormat="false" ht="15.75" hidden="false" customHeight="true" outlineLevel="0" collapsed="false">
      <c r="A20" s="22" t="s">
        <v>288</v>
      </c>
      <c r="B20" s="22"/>
      <c r="C20" s="22"/>
      <c r="D20" s="22"/>
      <c r="E20" s="22"/>
      <c r="F20" s="22"/>
    </row>
    <row r="22" customFormat="false" ht="15" hidden="false" customHeight="false" outlineLevel="0" collapsed="false">
      <c r="A22" s="42" t="s">
        <v>289</v>
      </c>
      <c r="B22" s="42"/>
      <c r="C22" s="42"/>
      <c r="D22" s="42"/>
      <c r="E22" s="42"/>
      <c r="F22" s="42"/>
    </row>
    <row r="23" customFormat="false" ht="15" hidden="false" customHeight="false" outlineLevel="0" collapsed="false">
      <c r="A23" s="56" t="s">
        <v>290</v>
      </c>
      <c r="B23" s="42" t="s">
        <v>291</v>
      </c>
      <c r="C23" s="42"/>
      <c r="D23" s="42"/>
      <c r="E23" s="42"/>
      <c r="F23" s="56" t="s">
        <v>83</v>
      </c>
    </row>
    <row r="24" customFormat="false" ht="21.75" hidden="false" customHeight="true" outlineLevel="0" collapsed="false">
      <c r="A24" s="48" t="s">
        <v>292</v>
      </c>
      <c r="B24" s="57" t="s">
        <v>293</v>
      </c>
      <c r="C24" s="57"/>
      <c r="D24" s="57"/>
      <c r="E24" s="57"/>
      <c r="F24" s="29" t="s">
        <v>294</v>
      </c>
    </row>
    <row r="25" customFormat="false" ht="21.75" hidden="false" customHeight="true" outlineLevel="0" collapsed="false">
      <c r="A25" s="48" t="s">
        <v>295</v>
      </c>
      <c r="B25" s="57" t="s">
        <v>296</v>
      </c>
      <c r="C25" s="57"/>
      <c r="D25" s="57"/>
      <c r="E25" s="57"/>
      <c r="F25" s="29" t="s">
        <v>297</v>
      </c>
    </row>
    <row r="26" customFormat="false" ht="21.75" hidden="false" customHeight="true" outlineLevel="0" collapsed="false">
      <c r="A26" s="48" t="s">
        <v>298</v>
      </c>
      <c r="B26" s="57" t="s">
        <v>299</v>
      </c>
      <c r="C26" s="57"/>
      <c r="D26" s="57"/>
      <c r="E26" s="57"/>
      <c r="F26" s="29" t="s">
        <v>300</v>
      </c>
    </row>
    <row r="27" customFormat="false" ht="21.75" hidden="false" customHeight="true" outlineLevel="0" collapsed="false">
      <c r="A27" s="48" t="s">
        <v>301</v>
      </c>
      <c r="B27" s="57" t="s">
        <v>302</v>
      </c>
      <c r="C27" s="57"/>
      <c r="D27" s="57"/>
      <c r="E27" s="57"/>
      <c r="F27" s="29" t="s">
        <v>303</v>
      </c>
    </row>
    <row r="28" customFormat="false" ht="21.75" hidden="false" customHeight="true" outlineLevel="0" collapsed="false">
      <c r="A28" s="48" t="s">
        <v>304</v>
      </c>
      <c r="B28" s="57" t="s">
        <v>305</v>
      </c>
      <c r="C28" s="57"/>
      <c r="D28" s="57"/>
      <c r="E28" s="57"/>
      <c r="F28" s="29" t="s">
        <v>306</v>
      </c>
    </row>
    <row r="29" customFormat="false" ht="21.75" hidden="false" customHeight="true" outlineLevel="0" collapsed="false">
      <c r="A29" s="48" t="s">
        <v>307</v>
      </c>
      <c r="B29" s="57" t="s">
        <v>308</v>
      </c>
      <c r="C29" s="57"/>
      <c r="D29" s="57"/>
      <c r="E29" s="57"/>
      <c r="F29" s="29" t="s">
        <v>309</v>
      </c>
    </row>
    <row r="30" customFormat="false" ht="21.75" hidden="false" customHeight="true" outlineLevel="0" collapsed="false">
      <c r="A30" s="48" t="s">
        <v>310</v>
      </c>
      <c r="B30" s="57" t="s">
        <v>311</v>
      </c>
      <c r="C30" s="57"/>
      <c r="D30" s="57"/>
      <c r="E30" s="57"/>
      <c r="F30" s="29" t="s">
        <v>312</v>
      </c>
    </row>
    <row r="31" customFormat="false" ht="21.75" hidden="false" customHeight="true" outlineLevel="0" collapsed="false">
      <c r="A31" s="48" t="s">
        <v>313</v>
      </c>
      <c r="B31" s="57" t="s">
        <v>314</v>
      </c>
      <c r="C31" s="57"/>
      <c r="D31" s="57"/>
      <c r="E31" s="57"/>
      <c r="F31" s="29" t="s">
        <v>315</v>
      </c>
    </row>
    <row r="33" customFormat="false" ht="15" hidden="false" customHeight="false" outlineLevel="0" collapsed="false">
      <c r="A33" s="42" t="s">
        <v>316</v>
      </c>
      <c r="B33" s="42"/>
      <c r="C33" s="42"/>
      <c r="D33" s="42"/>
      <c r="E33" s="42"/>
      <c r="F33" s="42"/>
    </row>
    <row r="34" customFormat="false" ht="27.75" hidden="false" customHeight="true" outlineLevel="0" collapsed="false">
      <c r="A34" s="58" t="s">
        <v>317</v>
      </c>
      <c r="B34" s="59" t="s">
        <v>318</v>
      </c>
      <c r="C34" s="59"/>
      <c r="D34" s="59"/>
      <c r="E34" s="59"/>
      <c r="F34" s="59"/>
    </row>
    <row r="35" customFormat="false" ht="27.75" hidden="false" customHeight="true" outlineLevel="0" collapsed="false">
      <c r="A35" s="58" t="s">
        <v>319</v>
      </c>
      <c r="B35" s="59" t="s">
        <v>320</v>
      </c>
      <c r="C35" s="59"/>
      <c r="D35" s="59"/>
      <c r="E35" s="59"/>
      <c r="F35" s="59"/>
    </row>
    <row r="36" customFormat="false" ht="27.75" hidden="false" customHeight="true" outlineLevel="0" collapsed="false">
      <c r="A36" s="58" t="s">
        <v>321</v>
      </c>
      <c r="B36" s="59" t="s">
        <v>322</v>
      </c>
      <c r="C36" s="59"/>
      <c r="D36" s="59"/>
      <c r="E36" s="59"/>
      <c r="F36" s="59"/>
    </row>
    <row r="37" customFormat="false" ht="27.75" hidden="false" customHeight="true" outlineLevel="0" collapsed="false">
      <c r="A37" s="58" t="s">
        <v>323</v>
      </c>
      <c r="B37" s="59" t="s">
        <v>324</v>
      </c>
      <c r="C37" s="59"/>
      <c r="D37" s="59"/>
      <c r="E37" s="59"/>
      <c r="F37" s="59"/>
    </row>
    <row r="38" customFormat="false" ht="27.75" hidden="false" customHeight="true" outlineLevel="0" collapsed="false">
      <c r="A38" s="58" t="s">
        <v>325</v>
      </c>
      <c r="B38" s="59" t="s">
        <v>326</v>
      </c>
      <c r="C38" s="59"/>
      <c r="D38" s="59"/>
      <c r="E38" s="59"/>
      <c r="F38" s="59"/>
    </row>
    <row r="39" customFormat="false" ht="27.75" hidden="false" customHeight="true" outlineLevel="0" collapsed="false">
      <c r="A39" s="58" t="s">
        <v>327</v>
      </c>
      <c r="B39" s="59" t="s">
        <v>328</v>
      </c>
      <c r="C39" s="59"/>
      <c r="D39" s="59"/>
      <c r="E39" s="59"/>
      <c r="F39" s="59"/>
    </row>
    <row r="40" customFormat="false" ht="27.75" hidden="false" customHeight="true" outlineLevel="0" collapsed="false">
      <c r="A40" s="58" t="s">
        <v>329</v>
      </c>
      <c r="B40" s="59" t="s">
        <v>330</v>
      </c>
      <c r="C40" s="59"/>
      <c r="D40" s="59"/>
      <c r="E40" s="59"/>
      <c r="F40" s="59"/>
    </row>
    <row r="41" customFormat="false" ht="27.75" hidden="false" customHeight="true" outlineLevel="0" collapsed="false">
      <c r="A41" s="58" t="s">
        <v>331</v>
      </c>
      <c r="B41" s="59" t="s">
        <v>332</v>
      </c>
      <c r="C41" s="59"/>
      <c r="D41" s="59"/>
      <c r="E41" s="59"/>
      <c r="F41" s="59"/>
    </row>
    <row r="42" customFormat="false" ht="27.75" hidden="false" customHeight="true" outlineLevel="0" collapsed="false">
      <c r="A42" s="58" t="s">
        <v>333</v>
      </c>
      <c r="B42" s="59" t="s">
        <v>334</v>
      </c>
      <c r="C42" s="59"/>
      <c r="D42" s="59"/>
      <c r="E42" s="59"/>
      <c r="F42" s="59"/>
    </row>
    <row r="44" customFormat="false" ht="15" hidden="false" customHeight="false" outlineLevel="0" collapsed="false">
      <c r="A44" s="42" t="s">
        <v>335</v>
      </c>
      <c r="B44" s="42"/>
      <c r="C44" s="42"/>
      <c r="D44" s="42"/>
      <c r="E44" s="42"/>
      <c r="F44" s="42"/>
    </row>
    <row r="45" customFormat="false" ht="30" hidden="false" customHeight="true" outlineLevel="0" collapsed="false">
      <c r="A45" s="45" t="s">
        <v>192</v>
      </c>
      <c r="B45" s="59" t="s">
        <v>336</v>
      </c>
      <c r="C45" s="59"/>
      <c r="D45" s="59"/>
      <c r="E45" s="59"/>
      <c r="F45" s="59"/>
    </row>
    <row r="46" customFormat="false" ht="30" hidden="false" customHeight="true" outlineLevel="0" collapsed="false">
      <c r="A46" s="45" t="s">
        <v>192</v>
      </c>
      <c r="B46" s="59" t="s">
        <v>337</v>
      </c>
      <c r="C46" s="59"/>
      <c r="D46" s="59"/>
      <c r="E46" s="59"/>
      <c r="F46" s="59"/>
    </row>
    <row r="47" customFormat="false" ht="30" hidden="false" customHeight="true" outlineLevel="0" collapsed="false">
      <c r="A47" s="45" t="s">
        <v>192</v>
      </c>
      <c r="B47" s="59" t="s">
        <v>338</v>
      </c>
      <c r="C47" s="59"/>
      <c r="D47" s="59"/>
      <c r="E47" s="59"/>
      <c r="F47" s="59"/>
    </row>
    <row r="48" customFormat="false" ht="30" hidden="false" customHeight="true" outlineLevel="0" collapsed="false">
      <c r="A48" s="45" t="s">
        <v>192</v>
      </c>
      <c r="B48" s="59" t="s">
        <v>339</v>
      </c>
      <c r="C48" s="59"/>
      <c r="D48" s="59"/>
      <c r="E48" s="59"/>
      <c r="F48" s="59"/>
    </row>
    <row r="49" customFormat="false" ht="30" hidden="false" customHeight="true" outlineLevel="0" collapsed="false">
      <c r="A49" s="45" t="s">
        <v>192</v>
      </c>
      <c r="B49" s="59" t="s">
        <v>340</v>
      </c>
      <c r="C49" s="59"/>
      <c r="D49" s="59"/>
      <c r="E49" s="59"/>
      <c r="F49" s="59"/>
    </row>
    <row r="50" customFormat="false" ht="30" hidden="false" customHeight="true" outlineLevel="0" collapsed="false">
      <c r="A50" s="45" t="s">
        <v>192</v>
      </c>
      <c r="B50" s="59" t="s">
        <v>341</v>
      </c>
      <c r="C50" s="59"/>
      <c r="D50" s="59"/>
      <c r="E50" s="59"/>
      <c r="F50" s="59"/>
    </row>
    <row r="51" customFormat="false" ht="30" hidden="false" customHeight="true" outlineLevel="0" collapsed="false">
      <c r="A51" s="45" t="s">
        <v>192</v>
      </c>
      <c r="B51" s="59" t="s">
        <v>342</v>
      </c>
      <c r="C51" s="59"/>
      <c r="D51" s="59"/>
      <c r="E51" s="59"/>
      <c r="F51" s="59"/>
    </row>
  </sheetData>
  <mergeCells count="33">
    <mergeCell ref="A1:F1"/>
    <mergeCell ref="A2:F2"/>
    <mergeCell ref="A4:F4"/>
    <mergeCell ref="A11:F11"/>
    <mergeCell ref="A20:F20"/>
    <mergeCell ref="A22:F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A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A44:F44"/>
    <mergeCell ref="B45:F45"/>
    <mergeCell ref="B46:F46"/>
    <mergeCell ref="B47:F47"/>
    <mergeCell ref="B48:F48"/>
    <mergeCell ref="B49:F49"/>
    <mergeCell ref="B50:F50"/>
    <mergeCell ref="B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2026-05-28T06:16:38Z</dcterms:created>
  <dc:creator>openpyxl</dc:creator>
  <dc:description/>
  <dc:language>en-US</dc:language>
  <cp:lastModifiedBy/>
  <dcterms:modified xsi:type="dcterms:W3CDTF">2026-05-28T08:26:30Z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